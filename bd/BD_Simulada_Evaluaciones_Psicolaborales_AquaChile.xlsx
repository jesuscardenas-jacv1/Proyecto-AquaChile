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'Candidatos'!$A$1:$U$101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2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BE5D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166" fontId="3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8" customWidth="1" min="4" max="4"/>
    <col width="28" customWidth="1" min="5" max="5"/>
    <col width="11" customWidth="1" min="6" max="6"/>
    <col width="17" customWidth="1" min="7" max="7"/>
    <col width="28" customWidth="1" min="8" max="8"/>
    <col width="20" customWidth="1" min="9" max="9"/>
    <col width="16" customWidth="1" min="10" max="10"/>
    <col width="11" customWidth="1" min="11" max="11"/>
    <col width="13" customWidth="1" min="12" max="12"/>
    <col width="26" customWidth="1" min="13" max="13"/>
    <col width="36" customWidth="1" min="14" max="14"/>
    <col width="55" customWidth="1" min="15" max="15"/>
    <col width="26" customWidth="1" min="16" max="16"/>
    <col width="12" customWidth="1" min="17" max="17"/>
    <col width="12" customWidth="1" min="18" max="18"/>
    <col width="12" customWidth="1" min="19" max="19"/>
    <col width="12" customWidth="1" min="20" max="20"/>
    <col width="26" customWidth="1" min="21" max="21"/>
  </cols>
  <sheetData>
    <row r="1" ht="60" customHeight="1">
      <c r="A1" s="1" t="inlineStr">
        <is>
          <t>N°</t>
        </is>
      </c>
      <c r="B1" s="1" t="inlineStr">
        <is>
          <t>MES</t>
        </is>
      </c>
      <c r="C1" s="1" t="inlineStr">
        <is>
          <t>EV IN - EX</t>
        </is>
      </c>
      <c r="D1" s="1" t="inlineStr">
        <is>
          <t>Reclutador/a</t>
        </is>
      </c>
      <c r="E1" s="1" t="inlineStr">
        <is>
          <t>Nombre del Candidato/a</t>
        </is>
      </c>
      <c r="F1" s="1" t="inlineStr">
        <is>
          <t>Origen del Candidato/a</t>
        </is>
      </c>
      <c r="G1" s="1" t="inlineStr">
        <is>
          <t>Familia del Cargo</t>
        </is>
      </c>
      <c r="H1" s="1" t="inlineStr">
        <is>
          <t>Nombre del Cargo</t>
        </is>
      </c>
      <c r="I1" s="1" t="inlineStr">
        <is>
          <t>Ubicación del cargo</t>
        </is>
      </c>
      <c r="J1" s="1" t="inlineStr">
        <is>
          <t>Unidad</t>
        </is>
      </c>
      <c r="K1" s="1" t="inlineStr">
        <is>
          <t>Requiere Referencias</t>
        </is>
      </c>
      <c r="L1" s="1" t="inlineStr">
        <is>
          <t>CECO</t>
        </is>
      </c>
      <c r="M1" s="1" t="inlineStr">
        <is>
          <t>Adjuntar CV</t>
        </is>
      </c>
      <c r="N1" s="1" t="inlineStr">
        <is>
          <t>Adjuntar Descriptor de Cargo</t>
        </is>
      </c>
      <c r="O1" s="1" t="inlineStr">
        <is>
          <t>Aspectos a indagar (funciones del cargo, si es confidencial para el candidato, énfasis en alguna competencia, indagar en liderazgo, etc)</t>
        </is>
      </c>
      <c r="P1" s="1" t="inlineStr">
        <is>
          <t>Referencias (solo para externos)</t>
        </is>
      </c>
      <c r="Q1" s="1" t="inlineStr">
        <is>
          <t>Fecha de petición</t>
        </is>
      </c>
      <c r="R1" s="1" t="inlineStr">
        <is>
          <t>Fecha entrevista</t>
        </is>
      </c>
      <c r="S1" s="1" t="inlineStr">
        <is>
          <t>Fecha de envío informe</t>
        </is>
      </c>
      <c r="T1" s="1" t="inlineStr">
        <is>
          <t>Tiempo de respuesta (días hábiles)</t>
        </is>
      </c>
      <c r="U1" s="1" t="inlineStr">
        <is>
          <t>Categoría del evaluado</t>
        </is>
      </c>
    </row>
    <row r="2">
      <c r="A2" s="2" t="n">
        <v>1</v>
      </c>
      <c r="B2" s="2" t="inlineStr">
        <is>
          <t>abril 25</t>
        </is>
      </c>
      <c r="C2" s="2" t="inlineStr">
        <is>
          <t>interna</t>
        </is>
      </c>
      <c r="D2" s="3" t="inlineStr">
        <is>
          <t>Daniela Contreras</t>
        </is>
      </c>
      <c r="E2" s="3" t="inlineStr">
        <is>
          <t>Jorge Alvarado Uribe</t>
        </is>
      </c>
      <c r="F2" s="2" t="inlineStr">
        <is>
          <t>Interno</t>
        </is>
      </c>
      <c r="G2" s="2" t="inlineStr">
        <is>
          <t>Profesional B C</t>
        </is>
      </c>
      <c r="H2" s="3" t="inlineStr">
        <is>
          <t>Coordinador Servicios Generales</t>
        </is>
      </c>
      <c r="I2" s="2" t="inlineStr">
        <is>
          <t>Planta Magallanes</t>
        </is>
      </c>
      <c r="J2" s="2" t="inlineStr">
        <is>
          <t>Industrial</t>
        </is>
      </c>
      <c r="K2" s="2" t="inlineStr">
        <is>
          <t>No</t>
        </is>
      </c>
      <c r="L2" s="2" t="inlineStr"/>
      <c r="M2" s="2" t="inlineStr"/>
      <c r="N2" s="2" t="inlineStr">
        <is>
          <t>DC_Coordinador_Servicios_Generales.pdf</t>
        </is>
      </c>
      <c r="O2" s="4" t="inlineStr">
        <is>
          <t>Énfasis en orientación a resultados y trabajo colaborativo.</t>
        </is>
      </c>
      <c r="P2" s="3" t="inlineStr"/>
      <c r="Q2" s="5" t="n">
        <v>45772</v>
      </c>
      <c r="R2" s="5" t="n">
        <v>45779</v>
      </c>
      <c r="S2" s="5" t="n">
        <v>45785</v>
      </c>
      <c r="T2" s="2">
        <f>NETWORKDAYS(R2,S2)-1</f>
        <v/>
      </c>
      <c r="U2" s="6" t="inlineStr">
        <is>
          <t>Recomendado con observaciones</t>
        </is>
      </c>
    </row>
    <row r="3">
      <c r="A3" s="2" t="n">
        <v>2</v>
      </c>
      <c r="B3" s="2" t="inlineStr">
        <is>
          <t>abril 25</t>
        </is>
      </c>
      <c r="C3" s="2" t="inlineStr">
        <is>
          <t>externa</t>
        </is>
      </c>
      <c r="D3" s="3" t="inlineStr">
        <is>
          <t>Daniela Contreras</t>
        </is>
      </c>
      <c r="E3" s="3" t="inlineStr">
        <is>
          <t>Manuel González Cárcamo</t>
        </is>
      </c>
      <c r="F3" s="2" t="inlineStr">
        <is>
          <t>Externo</t>
        </is>
      </c>
      <c r="G3" s="2" t="inlineStr">
        <is>
          <t>Profesional A</t>
        </is>
      </c>
      <c r="H3" s="3" t="inlineStr">
        <is>
          <t>Líder Desarrollo Producción</t>
        </is>
      </c>
      <c r="I3" s="2" t="inlineStr">
        <is>
          <t>Oficina Central</t>
        </is>
      </c>
      <c r="J3" s="2" t="inlineStr">
        <is>
          <t>Corporativo</t>
        </is>
      </c>
      <c r="K3" s="2" t="inlineStr">
        <is>
          <t>Sí</t>
        </is>
      </c>
      <c r="L3" s="2" t="inlineStr">
        <is>
          <t>A170010311</t>
        </is>
      </c>
      <c r="M3" s="2" t="inlineStr">
        <is>
          <t>CV_Manuel_González.pdf</t>
        </is>
      </c>
      <c r="N3" s="2" t="inlineStr">
        <is>
          <t>DC_Líder_Desarrollo_Producción.pdf</t>
        </is>
      </c>
      <c r="O3" s="4" t="inlineStr">
        <is>
          <t>Indagar en liderazgo de equipos y gestión del cambio. Proceso confidencial para el candidato.</t>
        </is>
      </c>
      <c r="P3" s="3" t="inlineStr">
        <is>
          <t>Referencias favorables</t>
        </is>
      </c>
      <c r="Q3" s="5" t="n">
        <v>45758</v>
      </c>
      <c r="R3" s="5" t="n">
        <v>45763</v>
      </c>
      <c r="S3" s="5" t="n">
        <v>45765</v>
      </c>
      <c r="T3" s="2">
        <f>NETWORKDAYS(R3,S3)-1</f>
        <v/>
      </c>
      <c r="U3" s="7" t="inlineStr">
        <is>
          <t>Recomendado</t>
        </is>
      </c>
    </row>
    <row r="4">
      <c r="A4" s="2" t="n">
        <v>3</v>
      </c>
      <c r="B4" s="2" t="inlineStr">
        <is>
          <t>abril 25</t>
        </is>
      </c>
      <c r="C4" s="2" t="inlineStr">
        <is>
          <t>interna</t>
        </is>
      </c>
      <c r="D4" s="3" t="inlineStr">
        <is>
          <t>Carolina Muñoz</t>
        </is>
      </c>
      <c r="E4" s="3" t="inlineStr">
        <is>
          <t>Catalina Sepúlveda Alvarado</t>
        </is>
      </c>
      <c r="F4" s="2" t="inlineStr">
        <is>
          <t>Interno</t>
        </is>
      </c>
      <c r="G4" s="2" t="inlineStr">
        <is>
          <t>Técnico B C</t>
        </is>
      </c>
      <c r="H4" s="3" t="inlineStr">
        <is>
          <t>Monitor Producción</t>
        </is>
      </c>
      <c r="I4" s="2" t="inlineStr">
        <is>
          <t>Planta Calbuco</t>
        </is>
      </c>
      <c r="J4" s="2" t="inlineStr">
        <is>
          <t>Industrial</t>
        </is>
      </c>
      <c r="K4" s="2" t="inlineStr">
        <is>
          <t>No</t>
        </is>
      </c>
      <c r="L4" s="2" t="inlineStr"/>
      <c r="M4" s="2" t="inlineStr"/>
      <c r="N4" s="2" t="inlineStr">
        <is>
          <t>DC_Monitor_Producción.pdf</t>
        </is>
      </c>
      <c r="O4" s="4" t="inlineStr">
        <is>
          <t>Indagar en disposición a turnos rotativos.</t>
        </is>
      </c>
      <c r="P4" s="3" t="inlineStr"/>
      <c r="Q4" s="5" t="n">
        <v>45770</v>
      </c>
      <c r="R4" s="5" t="n">
        <v>45776</v>
      </c>
      <c r="S4" s="5" t="n">
        <v>45778</v>
      </c>
      <c r="T4" s="2">
        <f>NETWORKDAYS(R4,S4)-1</f>
        <v/>
      </c>
      <c r="U4" s="7" t="inlineStr">
        <is>
          <t>Recomendado</t>
        </is>
      </c>
    </row>
    <row r="5">
      <c r="A5" s="2" t="n">
        <v>4</v>
      </c>
      <c r="B5" s="2" t="inlineStr">
        <is>
          <t>abril 25</t>
        </is>
      </c>
      <c r="C5" s="2" t="inlineStr">
        <is>
          <t>interna</t>
        </is>
      </c>
      <c r="D5" s="3" t="inlineStr">
        <is>
          <t>Daniela Contreras</t>
        </is>
      </c>
      <c r="E5" s="3" t="inlineStr">
        <is>
          <t>Héctor Cárcamo Pizarro</t>
        </is>
      </c>
      <c r="F5" s="2" t="inlineStr">
        <is>
          <t>Interno</t>
        </is>
      </c>
      <c r="G5" s="2" t="inlineStr">
        <is>
          <t>Jefatura</t>
        </is>
      </c>
      <c r="H5" s="3" t="inlineStr">
        <is>
          <t>Jefe de Centro</t>
        </is>
      </c>
      <c r="I5" s="2" t="inlineStr">
        <is>
          <t>AM Chonchi</t>
        </is>
      </c>
      <c r="J5" s="2" t="inlineStr">
        <is>
          <t>Producción AM</t>
        </is>
      </c>
      <c r="K5" s="2" t="inlineStr">
        <is>
          <t>No</t>
        </is>
      </c>
      <c r="L5" s="2" t="inlineStr"/>
      <c r="M5" s="2" t="inlineStr"/>
      <c r="N5" s="2" t="inlineStr">
        <is>
          <t>DC_Jefe_de_Centro.pdf</t>
        </is>
      </c>
      <c r="O5" s="4" t="inlineStr">
        <is>
          <t>Evaluar estilo de liderazgo y manejo de indicadores.</t>
        </is>
      </c>
      <c r="P5" s="3" t="inlineStr"/>
      <c r="Q5" s="5" t="n">
        <v>45756</v>
      </c>
      <c r="R5" s="5" t="n">
        <v>45763</v>
      </c>
      <c r="S5" s="5" t="n">
        <v>45768</v>
      </c>
      <c r="T5" s="2">
        <f>NETWORKDAYS(R5,S5)-1</f>
        <v/>
      </c>
      <c r="U5" s="8" t="inlineStr">
        <is>
          <t>No recomendado</t>
        </is>
      </c>
    </row>
    <row r="6">
      <c r="A6" s="2" t="n">
        <v>5</v>
      </c>
      <c r="B6" s="2" t="inlineStr">
        <is>
          <t>abril 25</t>
        </is>
      </c>
      <c r="C6" s="2" t="inlineStr">
        <is>
          <t>interna</t>
        </is>
      </c>
      <c r="D6" s="3" t="inlineStr">
        <is>
          <t>Fernanda Rojas</t>
        </is>
      </c>
      <c r="E6" s="3" t="inlineStr">
        <is>
          <t>Pedro Mansilla Contreras</t>
        </is>
      </c>
      <c r="F6" s="2" t="inlineStr">
        <is>
          <t>Interno</t>
        </is>
      </c>
      <c r="G6" s="2" t="inlineStr">
        <is>
          <t>Jefatura</t>
        </is>
      </c>
      <c r="H6" s="3" t="inlineStr">
        <is>
          <t>Jefe Área Piscicultura</t>
        </is>
      </c>
      <c r="I6" s="2" t="inlineStr">
        <is>
          <t>Codihue</t>
        </is>
      </c>
      <c r="J6" s="2" t="inlineStr">
        <is>
          <t>Producción AD</t>
        </is>
      </c>
      <c r="K6" s="2" t="inlineStr">
        <is>
          <t>No</t>
        </is>
      </c>
      <c r="L6" s="2" t="inlineStr"/>
      <c r="M6" s="2" t="inlineStr"/>
      <c r="N6" s="2" t="inlineStr">
        <is>
          <t>DC_Jefe_Área_Piscicultura.pdf</t>
        </is>
      </c>
      <c r="O6" s="4" t="inlineStr">
        <is>
          <t>Indagar en liderazgo, planificación y gestión de personas. Proceso confidencial.</t>
        </is>
      </c>
      <c r="P6" s="3" t="inlineStr"/>
      <c r="Q6" s="5" t="n">
        <v>45761</v>
      </c>
      <c r="R6" s="5" t="n">
        <v>45768</v>
      </c>
      <c r="S6" s="5" t="n">
        <v>45770</v>
      </c>
      <c r="T6" s="2">
        <f>NETWORKDAYS(R6,S6)-1</f>
        <v/>
      </c>
      <c r="U6" s="7" t="inlineStr">
        <is>
          <t>Recomendado</t>
        </is>
      </c>
    </row>
    <row r="7">
      <c r="A7" s="2" t="n">
        <v>6</v>
      </c>
      <c r="B7" s="2" t="inlineStr">
        <is>
          <t>abril 25</t>
        </is>
      </c>
      <c r="C7" s="2" t="inlineStr">
        <is>
          <t>interna</t>
        </is>
      </c>
      <c r="D7" s="3" t="inlineStr">
        <is>
          <t>Daniela Contreras</t>
        </is>
      </c>
      <c r="E7" s="3" t="inlineStr">
        <is>
          <t>Claudio Araya Uribe</t>
        </is>
      </c>
      <c r="F7" s="2" t="inlineStr">
        <is>
          <t>Interno</t>
        </is>
      </c>
      <c r="G7" s="2" t="inlineStr">
        <is>
          <t>Supervisor B</t>
        </is>
      </c>
      <c r="H7" s="3" t="inlineStr">
        <is>
          <t>Supervisor Planta</t>
        </is>
      </c>
      <c r="I7" s="2" t="inlineStr">
        <is>
          <t>Planta Cailin</t>
        </is>
      </c>
      <c r="J7" s="2" t="inlineStr">
        <is>
          <t>Industrial</t>
        </is>
      </c>
      <c r="K7" s="2" t="inlineStr">
        <is>
          <t>No</t>
        </is>
      </c>
      <c r="L7" s="2" t="inlineStr"/>
      <c r="M7" s="2" t="inlineStr"/>
      <c r="N7" s="2" t="inlineStr">
        <is>
          <t>DC_Supervisor_Planta.pdf</t>
        </is>
      </c>
      <c r="O7" s="4" t="inlineStr">
        <is>
          <t>Énfasis en comunicación efectiva y toma de decisiones bajo presión.</t>
        </is>
      </c>
      <c r="P7" s="3" t="inlineStr"/>
      <c r="Q7" s="5" t="n">
        <v>45757</v>
      </c>
      <c r="R7" s="5" t="n">
        <v>45765</v>
      </c>
      <c r="S7" s="5" t="n">
        <v>45771</v>
      </c>
      <c r="T7" s="2">
        <f>NETWORKDAYS(R7,S7)-1</f>
        <v/>
      </c>
      <c r="U7" s="6" t="inlineStr">
        <is>
          <t>Recomendado con observaciones</t>
        </is>
      </c>
    </row>
    <row r="8">
      <c r="A8" s="2" t="n">
        <v>7</v>
      </c>
      <c r="B8" s="2" t="inlineStr">
        <is>
          <t>abril 25</t>
        </is>
      </c>
      <c r="C8" s="2" t="inlineStr">
        <is>
          <t>interna</t>
        </is>
      </c>
      <c r="D8" s="3" t="inlineStr">
        <is>
          <t>Fernanda Rojas</t>
        </is>
      </c>
      <c r="E8" s="3" t="inlineStr">
        <is>
          <t>Camila Sepúlveda Navarro</t>
        </is>
      </c>
      <c r="F8" s="2" t="inlineStr">
        <is>
          <t>Interno</t>
        </is>
      </c>
      <c r="G8" s="2" t="inlineStr">
        <is>
          <t>Técnico A</t>
        </is>
      </c>
      <c r="H8" s="3" t="inlineStr">
        <is>
          <t>Técnico Eléctrico</t>
        </is>
      </c>
      <c r="I8" s="2" t="inlineStr">
        <is>
          <t>Planta Magallanes</t>
        </is>
      </c>
      <c r="J8" s="2" t="inlineStr">
        <is>
          <t>Industrial</t>
        </is>
      </c>
      <c r="K8" s="2" t="inlineStr">
        <is>
          <t>No</t>
        </is>
      </c>
      <c r="L8" s="2" t="inlineStr"/>
      <c r="M8" s="2" t="inlineStr"/>
      <c r="N8" s="2" t="inlineStr">
        <is>
          <t>DC_Técnico_Eléctrico.pdf</t>
        </is>
      </c>
      <c r="O8" s="4" t="inlineStr">
        <is>
          <t>Énfasis en disposición a sistema de turnos 7x7 en centro remoto.</t>
        </is>
      </c>
      <c r="P8" s="3" t="inlineStr"/>
      <c r="Q8" s="5" t="n">
        <v>45775</v>
      </c>
      <c r="R8" s="5" t="n">
        <v>45783</v>
      </c>
      <c r="S8" s="5" t="n">
        <v>45785</v>
      </c>
      <c r="T8" s="2">
        <f>NETWORKDAYS(R8,S8)-1</f>
        <v/>
      </c>
      <c r="U8" s="7" t="inlineStr">
        <is>
          <t>Recomendado</t>
        </is>
      </c>
    </row>
    <row r="9">
      <c r="A9" s="2" t="n">
        <v>8</v>
      </c>
      <c r="B9" s="2" t="inlineStr">
        <is>
          <t>abril 25</t>
        </is>
      </c>
      <c r="C9" s="2" t="inlineStr">
        <is>
          <t>interna</t>
        </is>
      </c>
      <c r="D9" s="3" t="inlineStr">
        <is>
          <t>Macarena Vidal</t>
        </is>
      </c>
      <c r="E9" s="3" t="inlineStr">
        <is>
          <t>Jorge Uribe Rojas</t>
        </is>
      </c>
      <c r="F9" s="2" t="inlineStr">
        <is>
          <t>Interno</t>
        </is>
      </c>
      <c r="G9" s="2" t="inlineStr">
        <is>
          <t>Supervisor B</t>
        </is>
      </c>
      <c r="H9" s="3" t="inlineStr">
        <is>
          <t>Supervisor Centro de Cultivo</t>
        </is>
      </c>
      <c r="I9" s="2" t="inlineStr">
        <is>
          <t>AM Chonchi</t>
        </is>
      </c>
      <c r="J9" s="2" t="inlineStr">
        <is>
          <t>Producción AM</t>
        </is>
      </c>
      <c r="K9" s="2" t="inlineStr">
        <is>
          <t>No</t>
        </is>
      </c>
      <c r="L9" s="2" t="inlineStr"/>
      <c r="M9" s="2" t="inlineStr"/>
      <c r="N9" s="2" t="inlineStr">
        <is>
          <t>DC_Supervisor_Centro_de_Cultivo.pdf</t>
        </is>
      </c>
      <c r="O9" s="4" t="inlineStr">
        <is>
          <t>Énfasis en comunicación efectiva y toma de decisiones bajo presión.</t>
        </is>
      </c>
      <c r="P9" s="3" t="inlineStr"/>
      <c r="Q9" s="5" t="n">
        <v>45758</v>
      </c>
      <c r="R9" s="5" t="n">
        <v>45765</v>
      </c>
      <c r="S9" s="5" t="n">
        <v>45771</v>
      </c>
      <c r="T9" s="2">
        <f>NETWORKDAYS(R9,S9)-1</f>
        <v/>
      </c>
      <c r="U9" s="7" t="inlineStr">
        <is>
          <t>Recomendado</t>
        </is>
      </c>
    </row>
    <row r="10">
      <c r="A10" s="2" t="n">
        <v>9</v>
      </c>
      <c r="B10" s="2" t="inlineStr">
        <is>
          <t>mayo 25</t>
        </is>
      </c>
      <c r="C10" s="2" t="inlineStr">
        <is>
          <t>interna</t>
        </is>
      </c>
      <c r="D10" s="3" t="inlineStr">
        <is>
          <t>Daniela Contreras</t>
        </is>
      </c>
      <c r="E10" s="3" t="inlineStr">
        <is>
          <t>Víctor Pérez Flores</t>
        </is>
      </c>
      <c r="F10" s="2" t="inlineStr">
        <is>
          <t>Interno</t>
        </is>
      </c>
      <c r="G10" s="2" t="inlineStr">
        <is>
          <t>Supervisor B</t>
        </is>
      </c>
      <c r="H10" s="3" t="inlineStr">
        <is>
          <t>Supervisor Planta</t>
        </is>
      </c>
      <c r="I10" s="2" t="inlineStr">
        <is>
          <t>Planta Magallanes</t>
        </is>
      </c>
      <c r="J10" s="2" t="inlineStr">
        <is>
          <t>Industrial</t>
        </is>
      </c>
      <c r="K10" s="2" t="inlineStr">
        <is>
          <t>No</t>
        </is>
      </c>
      <c r="L10" s="2" t="inlineStr"/>
      <c r="M10" s="2" t="inlineStr"/>
      <c r="N10" s="2" t="inlineStr">
        <is>
          <t>DC_Supervisor_Planta.pdf</t>
        </is>
      </c>
      <c r="O10" s="4" t="inlineStr">
        <is>
          <t>Indagar en liderazgo de equipos operativos y manejo de conflictos.</t>
        </is>
      </c>
      <c r="P10" s="3" t="inlineStr"/>
      <c r="Q10" s="5" t="n">
        <v>45789</v>
      </c>
      <c r="R10" s="5" t="n">
        <v>45791</v>
      </c>
      <c r="S10" s="5" t="n">
        <v>45793</v>
      </c>
      <c r="T10" s="2">
        <f>NETWORKDAYS(R10,S10)-1</f>
        <v/>
      </c>
      <c r="U10" s="6" t="inlineStr">
        <is>
          <t>Recomendado con observaciones</t>
        </is>
      </c>
    </row>
    <row r="11">
      <c r="A11" s="2" t="n">
        <v>10</v>
      </c>
      <c r="B11" s="2" t="inlineStr">
        <is>
          <t>mayo 25</t>
        </is>
      </c>
      <c r="C11" s="2" t="inlineStr">
        <is>
          <t>externa</t>
        </is>
      </c>
      <c r="D11" s="3" t="inlineStr">
        <is>
          <t>Javiera Soto</t>
        </is>
      </c>
      <c r="E11" s="3" t="inlineStr">
        <is>
          <t>Claudio Soto Cheuquepil</t>
        </is>
      </c>
      <c r="F11" s="2" t="inlineStr">
        <is>
          <t>Externo</t>
        </is>
      </c>
      <c r="G11" s="2" t="inlineStr">
        <is>
          <t>Supervisor B</t>
        </is>
      </c>
      <c r="H11" s="3" t="inlineStr">
        <is>
          <t>Supervisor Planta</t>
        </is>
      </c>
      <c r="I11" s="2" t="inlineStr">
        <is>
          <t>Planta Magallanes</t>
        </is>
      </c>
      <c r="J11" s="2" t="inlineStr">
        <is>
          <t>Industrial</t>
        </is>
      </c>
      <c r="K11" s="2" t="inlineStr">
        <is>
          <t>Sí</t>
        </is>
      </c>
      <c r="L11" s="2" t="inlineStr">
        <is>
          <t>A170020704</t>
        </is>
      </c>
      <c r="M11" s="2" t="inlineStr">
        <is>
          <t>CV_Claudio_Soto.pdf</t>
        </is>
      </c>
      <c r="N11" s="2" t="inlineStr">
        <is>
          <t>DC_Supervisor_Planta.pdf</t>
        </is>
      </c>
      <c r="O11" s="4" t="inlineStr">
        <is>
          <t>Énfasis en comunicación efectiva y toma de decisiones bajo presión.</t>
        </is>
      </c>
      <c r="P11" s="3" t="inlineStr">
        <is>
          <t>1 referencia con observaciones</t>
        </is>
      </c>
      <c r="Q11" s="5" t="n">
        <v>45785</v>
      </c>
      <c r="R11" s="5" t="n">
        <v>45789</v>
      </c>
      <c r="S11" s="5" t="n">
        <v>45792</v>
      </c>
      <c r="T11" s="2">
        <f>NETWORKDAYS(R11,S11)-1</f>
        <v/>
      </c>
      <c r="U11" s="7" t="inlineStr">
        <is>
          <t>Recomendado</t>
        </is>
      </c>
    </row>
    <row r="12">
      <c r="A12" s="2" t="n">
        <v>11</v>
      </c>
      <c r="B12" s="2" t="inlineStr">
        <is>
          <t>mayo 25</t>
        </is>
      </c>
      <c r="C12" s="2" t="inlineStr">
        <is>
          <t>interna</t>
        </is>
      </c>
      <c r="D12" s="3" t="inlineStr">
        <is>
          <t>Carolina Muñoz</t>
        </is>
      </c>
      <c r="E12" s="3" t="inlineStr">
        <is>
          <t>Víctor Martínez Ruiz</t>
        </is>
      </c>
      <c r="F12" s="2" t="inlineStr">
        <is>
          <t>Interno</t>
        </is>
      </c>
      <c r="G12" s="2" t="inlineStr">
        <is>
          <t>Profesional B C</t>
        </is>
      </c>
      <c r="H12" s="3" t="inlineStr">
        <is>
          <t>Analista de Control de Gestión</t>
        </is>
      </c>
      <c r="I12" s="2" t="inlineStr">
        <is>
          <t>Oficina Central</t>
        </is>
      </c>
      <c r="J12" s="2" t="inlineStr">
        <is>
          <t>Corporativo</t>
        </is>
      </c>
      <c r="K12" s="2" t="inlineStr">
        <is>
          <t>No</t>
        </is>
      </c>
      <c r="L12" s="2" t="inlineStr">
        <is>
          <t>A170010310</t>
        </is>
      </c>
      <c r="M12" s="2" t="inlineStr"/>
      <c r="N12" s="2" t="inlineStr">
        <is>
          <t>DC_Analista_de_Control_de_Gestión.pdf</t>
        </is>
      </c>
      <c r="O12" s="4" t="inlineStr">
        <is>
          <t>Indagar en capacidad analítica y manejo de herramientas digitales.</t>
        </is>
      </c>
      <c r="P12" s="3" t="inlineStr"/>
      <c r="Q12" s="5" t="n">
        <v>45782</v>
      </c>
      <c r="R12" s="5" t="n">
        <v>45790</v>
      </c>
      <c r="S12" s="5" t="n">
        <v>45793</v>
      </c>
      <c r="T12" s="2">
        <f>NETWORKDAYS(R12,S12)-1</f>
        <v/>
      </c>
      <c r="U12" s="7" t="inlineStr">
        <is>
          <t>Recomendado</t>
        </is>
      </c>
    </row>
    <row r="13">
      <c r="A13" s="2" t="n">
        <v>12</v>
      </c>
      <c r="B13" s="2" t="inlineStr">
        <is>
          <t>mayo 25</t>
        </is>
      </c>
      <c r="C13" s="2" t="inlineStr">
        <is>
          <t>interna</t>
        </is>
      </c>
      <c r="D13" s="3" t="inlineStr">
        <is>
          <t>Carolina Muñoz</t>
        </is>
      </c>
      <c r="E13" s="3" t="inlineStr">
        <is>
          <t>Diego Vargas Álvarez</t>
        </is>
      </c>
      <c r="F13" s="2" t="inlineStr">
        <is>
          <t>Interno</t>
        </is>
      </c>
      <c r="G13" s="2" t="inlineStr">
        <is>
          <t>Profesional B C</t>
        </is>
      </c>
      <c r="H13" s="3" t="inlineStr">
        <is>
          <t>Prevencionista de Riesgos</t>
        </is>
      </c>
      <c r="I13" s="2" t="inlineStr">
        <is>
          <t>Planta Calbuco</t>
        </is>
      </c>
      <c r="J13" s="2" t="inlineStr">
        <is>
          <t>Industrial</t>
        </is>
      </c>
      <c r="K13" s="2" t="inlineStr">
        <is>
          <t>No</t>
        </is>
      </c>
      <c r="L13" s="2" t="inlineStr"/>
      <c r="M13" s="2" t="inlineStr"/>
      <c r="N13" s="2" t="inlineStr">
        <is>
          <t>DC_Prevencionista_de_Riesgos.pdf</t>
        </is>
      </c>
      <c r="O13" s="4" t="inlineStr">
        <is>
          <t>Énfasis en orientación a resultados y trabajo colaborativo.</t>
        </is>
      </c>
      <c r="P13" s="3" t="inlineStr"/>
      <c r="Q13" s="5" t="n">
        <v>45782</v>
      </c>
      <c r="R13" s="5" t="n">
        <v>45790</v>
      </c>
      <c r="S13" s="5" t="n">
        <v>45796</v>
      </c>
      <c r="T13" s="2">
        <f>NETWORKDAYS(R13,S13)-1</f>
        <v/>
      </c>
      <c r="U13" s="7" t="inlineStr">
        <is>
          <t>Recomendado</t>
        </is>
      </c>
    </row>
    <row r="14">
      <c r="A14" s="2" t="n">
        <v>13</v>
      </c>
      <c r="B14" s="2" t="inlineStr">
        <is>
          <t>mayo 25</t>
        </is>
      </c>
      <c r="C14" s="2" t="inlineStr">
        <is>
          <t>externa</t>
        </is>
      </c>
      <c r="D14" s="3" t="inlineStr">
        <is>
          <t>Javiera Soto</t>
        </is>
      </c>
      <c r="E14" s="3" t="inlineStr">
        <is>
          <t>Soledad Muñoz Muñoz</t>
        </is>
      </c>
      <c r="F14" s="2" t="inlineStr">
        <is>
          <t>Externo</t>
        </is>
      </c>
      <c r="G14" s="2" t="inlineStr">
        <is>
          <t>Técnico A</t>
        </is>
      </c>
      <c r="H14" s="3" t="inlineStr">
        <is>
          <t>Técnico Mantención Senior</t>
        </is>
      </c>
      <c r="I14" s="2" t="inlineStr">
        <is>
          <t>AM Melinka</t>
        </is>
      </c>
      <c r="J14" s="2" t="inlineStr">
        <is>
          <t>Producción AM</t>
        </is>
      </c>
      <c r="K14" s="2" t="inlineStr">
        <is>
          <t>No</t>
        </is>
      </c>
      <c r="L14" s="2" t="inlineStr">
        <is>
          <t>A170040209</t>
        </is>
      </c>
      <c r="M14" s="2" t="inlineStr">
        <is>
          <t>CV_Soledad_Muñoz.pdf</t>
        </is>
      </c>
      <c r="N14" s="2" t="inlineStr">
        <is>
          <t>DC_Técnico_Mantención_Senior.pdf</t>
        </is>
      </c>
      <c r="O14" s="4" t="inlineStr">
        <is>
          <t>Indagar en resolución de problemas técnicos y autonomía.</t>
        </is>
      </c>
      <c r="P14" s="3" t="inlineStr"/>
      <c r="Q14" s="5" t="n">
        <v>45793</v>
      </c>
      <c r="R14" s="5" t="n">
        <v>45799</v>
      </c>
      <c r="S14" s="5" t="n">
        <v>45804</v>
      </c>
      <c r="T14" s="2">
        <f>NETWORKDAYS(R14,S14)-1</f>
        <v/>
      </c>
      <c r="U14" s="7" t="inlineStr">
        <is>
          <t>Recomendado</t>
        </is>
      </c>
    </row>
    <row r="15">
      <c r="A15" s="2" t="n">
        <v>14</v>
      </c>
      <c r="B15" s="2" t="inlineStr">
        <is>
          <t>mayo 25</t>
        </is>
      </c>
      <c r="C15" s="2" t="inlineStr">
        <is>
          <t>interna</t>
        </is>
      </c>
      <c r="D15" s="3" t="inlineStr">
        <is>
          <t>Carolina Muñoz</t>
        </is>
      </c>
      <c r="E15" s="3" t="inlineStr">
        <is>
          <t>José Gallardo Mansilla</t>
        </is>
      </c>
      <c r="F15" s="2" t="inlineStr">
        <is>
          <t>Interno</t>
        </is>
      </c>
      <c r="G15" s="2" t="inlineStr">
        <is>
          <t>Supervisor B</t>
        </is>
      </c>
      <c r="H15" s="3" t="inlineStr">
        <is>
          <t>Supervisor Centro de Cultivo</t>
        </is>
      </c>
      <c r="I15" s="2" t="inlineStr">
        <is>
          <t>AM Chonchi</t>
        </is>
      </c>
      <c r="J15" s="2" t="inlineStr">
        <is>
          <t>Producción AM</t>
        </is>
      </c>
      <c r="K15" s="2" t="inlineStr">
        <is>
          <t>No</t>
        </is>
      </c>
      <c r="L15" s="2" t="inlineStr">
        <is>
          <t>A170040510</t>
        </is>
      </c>
      <c r="M15" s="2" t="inlineStr"/>
      <c r="N15" s="2" t="inlineStr">
        <is>
          <t>DC_Supervisor_Centro_de_Cultivo.pdf</t>
        </is>
      </c>
      <c r="O15" s="4" t="inlineStr">
        <is>
          <t>Énfasis en comunicación efectiva y toma de decisiones bajo presión.</t>
        </is>
      </c>
      <c r="P15" s="3" t="inlineStr"/>
      <c r="Q15" s="5" t="n">
        <v>45789</v>
      </c>
      <c r="R15" s="5" t="n">
        <v>45796</v>
      </c>
      <c r="S15" s="5" t="n">
        <v>45799</v>
      </c>
      <c r="T15" s="2">
        <f>NETWORKDAYS(R15,S15)-1</f>
        <v/>
      </c>
      <c r="U15" s="7" t="inlineStr">
        <is>
          <t>Recomendado</t>
        </is>
      </c>
    </row>
    <row r="16">
      <c r="A16" s="2" t="n">
        <v>15</v>
      </c>
      <c r="B16" s="2" t="inlineStr">
        <is>
          <t>mayo 25</t>
        </is>
      </c>
      <c r="C16" s="2" t="inlineStr">
        <is>
          <t>interna</t>
        </is>
      </c>
      <c r="D16" s="3" t="inlineStr">
        <is>
          <t>Fernanda Rojas</t>
        </is>
      </c>
      <c r="E16" s="3" t="inlineStr">
        <is>
          <t>Camila Sánchez López</t>
        </is>
      </c>
      <c r="F16" s="2" t="inlineStr">
        <is>
          <t>Interno</t>
        </is>
      </c>
      <c r="G16" s="2" t="inlineStr">
        <is>
          <t>Profesional A</t>
        </is>
      </c>
      <c r="H16" s="3" t="inlineStr">
        <is>
          <t>Jefe de Proyectos TI</t>
        </is>
      </c>
      <c r="I16" s="2" t="inlineStr">
        <is>
          <t>Oficina Central</t>
        </is>
      </c>
      <c r="J16" s="2" t="inlineStr">
        <is>
          <t>Corporativo</t>
        </is>
      </c>
      <c r="K16" s="2" t="inlineStr">
        <is>
          <t>No</t>
        </is>
      </c>
      <c r="L16" s="2" t="inlineStr"/>
      <c r="M16" s="2" t="inlineStr"/>
      <c r="N16" s="2" t="inlineStr">
        <is>
          <t>DC_Jefe_de_Proyectos_TI.pdf</t>
        </is>
      </c>
      <c r="O16" s="4" t="inlineStr">
        <is>
          <t>Indagar en liderazgo de equipos y gestión del cambio. Proceso confidencial para el candidato.</t>
        </is>
      </c>
      <c r="P16" s="3" t="inlineStr"/>
      <c r="Q16" s="5" t="n">
        <v>45799</v>
      </c>
      <c r="R16" s="5" t="n">
        <v>45803</v>
      </c>
      <c r="S16" s="5" t="n">
        <v>45805</v>
      </c>
      <c r="T16" s="2">
        <f>NETWORKDAYS(R16,S16)-1</f>
        <v/>
      </c>
      <c r="U16" s="6" t="inlineStr">
        <is>
          <t>Recomendado con observaciones</t>
        </is>
      </c>
    </row>
    <row r="17">
      <c r="A17" s="2" t="n">
        <v>16</v>
      </c>
      <c r="B17" s="2" t="inlineStr">
        <is>
          <t>mayo 25</t>
        </is>
      </c>
      <c r="C17" s="2" t="inlineStr">
        <is>
          <t>interna</t>
        </is>
      </c>
      <c r="D17" s="3" t="inlineStr">
        <is>
          <t>Javiera Soto</t>
        </is>
      </c>
      <c r="E17" s="3" t="inlineStr">
        <is>
          <t>Lorena Ruiz Álvarez</t>
        </is>
      </c>
      <c r="F17" s="2" t="inlineStr">
        <is>
          <t>Interno</t>
        </is>
      </c>
      <c r="G17" s="2" t="inlineStr">
        <is>
          <t>Profesional B C</t>
        </is>
      </c>
      <c r="H17" s="3" t="inlineStr">
        <is>
          <t>Prevencionista de Riesgos</t>
        </is>
      </c>
      <c r="I17" s="2" t="inlineStr">
        <is>
          <t>AM Melinka</t>
        </is>
      </c>
      <c r="J17" s="2" t="inlineStr">
        <is>
          <t>Producción AM</t>
        </is>
      </c>
      <c r="K17" s="2" t="inlineStr">
        <is>
          <t>No</t>
        </is>
      </c>
      <c r="L17" s="2" t="inlineStr"/>
      <c r="M17" s="2" t="inlineStr"/>
      <c r="N17" s="2" t="inlineStr">
        <is>
          <t>DC_Prevencionista_de_Riesgos.pdf</t>
        </is>
      </c>
      <c r="O17" s="4" t="inlineStr">
        <is>
          <t>Indagar en capacidad analítica y manejo de herramientas digitales.</t>
        </is>
      </c>
      <c r="P17" s="3" t="inlineStr"/>
      <c r="Q17" s="5" t="n">
        <v>45790</v>
      </c>
      <c r="R17" s="5" t="n">
        <v>45796</v>
      </c>
      <c r="S17" s="5" t="n">
        <v>45798</v>
      </c>
      <c r="T17" s="2">
        <f>NETWORKDAYS(R17,S17)-1</f>
        <v/>
      </c>
      <c r="U17" s="7" t="inlineStr">
        <is>
          <t>Recomendado</t>
        </is>
      </c>
    </row>
    <row r="18">
      <c r="A18" s="2" t="n">
        <v>17</v>
      </c>
      <c r="B18" s="2" t="inlineStr">
        <is>
          <t>mayo 25</t>
        </is>
      </c>
      <c r="C18" s="2" t="inlineStr">
        <is>
          <t>interna</t>
        </is>
      </c>
      <c r="D18" s="3" t="inlineStr">
        <is>
          <t>Fernanda Rojas</t>
        </is>
      </c>
      <c r="E18" s="3" t="inlineStr">
        <is>
          <t>Ximena Sánchez Silva</t>
        </is>
      </c>
      <c r="F18" s="2" t="inlineStr">
        <is>
          <t>Interno</t>
        </is>
      </c>
      <c r="G18" s="2" t="inlineStr">
        <is>
          <t>Supervisor B</t>
        </is>
      </c>
      <c r="H18" s="3" t="inlineStr">
        <is>
          <t>Supervisor Centro de Cultivo</t>
        </is>
      </c>
      <c r="I18" s="2" t="inlineStr">
        <is>
          <t>AM Chonchi</t>
        </is>
      </c>
      <c r="J18" s="2" t="inlineStr">
        <is>
          <t>Producción AM</t>
        </is>
      </c>
      <c r="K18" s="2" t="inlineStr">
        <is>
          <t>No</t>
        </is>
      </c>
      <c r="L18" s="2" t="inlineStr"/>
      <c r="M18" s="2" t="inlineStr"/>
      <c r="N18" s="2" t="inlineStr">
        <is>
          <t>DC_Supervisor_Centro_de_Cultivo.pdf</t>
        </is>
      </c>
      <c r="O18" s="4" t="inlineStr">
        <is>
          <t>Indagar en liderazgo de equipos operativos y manejo de conflictos.</t>
        </is>
      </c>
      <c r="P18" s="3" t="inlineStr"/>
      <c r="Q18" s="5" t="n">
        <v>45796</v>
      </c>
      <c r="R18" s="5" t="n">
        <v>45800</v>
      </c>
      <c r="S18" s="5" t="n">
        <v>45806</v>
      </c>
      <c r="T18" s="2">
        <f>NETWORKDAYS(R18,S18)-1</f>
        <v/>
      </c>
      <c r="U18" s="7" t="inlineStr">
        <is>
          <t>Recomendado</t>
        </is>
      </c>
    </row>
    <row r="19">
      <c r="A19" s="2" t="n">
        <v>18</v>
      </c>
      <c r="B19" s="2" t="inlineStr">
        <is>
          <t>junio 25</t>
        </is>
      </c>
      <c r="C19" s="2" t="inlineStr">
        <is>
          <t>interna</t>
        </is>
      </c>
      <c r="D19" s="3" t="inlineStr">
        <is>
          <t>Macarena Vidal</t>
        </is>
      </c>
      <c r="E19" s="3" t="inlineStr">
        <is>
          <t>Jorge Ruiz Rodríguez</t>
        </is>
      </c>
      <c r="F19" s="2" t="inlineStr">
        <is>
          <t>Interno</t>
        </is>
      </c>
      <c r="G19" s="2" t="inlineStr">
        <is>
          <t>Profesional A</t>
        </is>
      </c>
      <c r="H19" s="3" t="inlineStr">
        <is>
          <t>Líder Desarrollo Producción</t>
        </is>
      </c>
      <c r="I19" s="2" t="inlineStr">
        <is>
          <t>Oficina Central</t>
        </is>
      </c>
      <c r="J19" s="2" t="inlineStr">
        <is>
          <t>Corporativo</t>
        </is>
      </c>
      <c r="K19" s="2" t="inlineStr">
        <is>
          <t>No</t>
        </is>
      </c>
      <c r="L19" s="2" t="inlineStr"/>
      <c r="M19" s="2" t="inlineStr"/>
      <c r="N19" s="2" t="inlineStr">
        <is>
          <t>DC_Líder_Desarrollo_Producción.pdf</t>
        </is>
      </c>
      <c r="O19" s="4" t="inlineStr">
        <is>
          <t>Indagar en liderazgo de equipos y gestión del cambio. Proceso confidencial para el candidato.</t>
        </is>
      </c>
      <c r="P19" s="3" t="inlineStr"/>
      <c r="Q19" s="5" t="n">
        <v>45820</v>
      </c>
      <c r="R19" s="5" t="n">
        <v>45825</v>
      </c>
      <c r="S19" s="5" t="n">
        <v>45827</v>
      </c>
      <c r="T19" s="2">
        <f>NETWORKDAYS(R19,S19)-1</f>
        <v/>
      </c>
      <c r="U19" s="7" t="inlineStr">
        <is>
          <t>Recomendado</t>
        </is>
      </c>
    </row>
    <row r="20">
      <c r="A20" s="2" t="n">
        <v>19</v>
      </c>
      <c r="B20" s="2" t="inlineStr">
        <is>
          <t>junio 25</t>
        </is>
      </c>
      <c r="C20" s="2" t="inlineStr">
        <is>
          <t>interna</t>
        </is>
      </c>
      <c r="D20" s="3" t="inlineStr">
        <is>
          <t>Javiera Soto</t>
        </is>
      </c>
      <c r="E20" s="3" t="inlineStr">
        <is>
          <t>Matías Alvarado Espinoza</t>
        </is>
      </c>
      <c r="F20" s="2" t="inlineStr">
        <is>
          <t>Interno</t>
        </is>
      </c>
      <c r="G20" s="2" t="inlineStr">
        <is>
          <t>Profesional B C</t>
        </is>
      </c>
      <c r="H20" s="3" t="inlineStr">
        <is>
          <t>Coordinador Servicios Generales</t>
        </is>
      </c>
      <c r="I20" s="2" t="inlineStr">
        <is>
          <t>Planta Calbuco</t>
        </is>
      </c>
      <c r="J20" s="2" t="inlineStr">
        <is>
          <t>Industrial</t>
        </is>
      </c>
      <c r="K20" s="2" t="inlineStr">
        <is>
          <t>No</t>
        </is>
      </c>
      <c r="L20" s="2" t="inlineStr"/>
      <c r="M20" s="2" t="inlineStr"/>
      <c r="N20" s="2" t="inlineStr">
        <is>
          <t>DC_Coordinador_Servicios_Generales.pdf</t>
        </is>
      </c>
      <c r="O20" s="4" t="inlineStr">
        <is>
          <t>Énfasis en orientación a resultados y trabajo colaborativo.</t>
        </is>
      </c>
      <c r="P20" s="3" t="inlineStr"/>
      <c r="Q20" s="5" t="n">
        <v>45831</v>
      </c>
      <c r="R20" s="5" t="n">
        <v>45839</v>
      </c>
      <c r="S20" s="5" t="n">
        <v>45841</v>
      </c>
      <c r="T20" s="2">
        <f>NETWORKDAYS(R20,S20)-1</f>
        <v/>
      </c>
      <c r="U20" s="7" t="inlineStr">
        <is>
          <t>Recomendado</t>
        </is>
      </c>
    </row>
    <row r="21">
      <c r="A21" s="2" t="n">
        <v>20</v>
      </c>
      <c r="B21" s="2" t="inlineStr">
        <is>
          <t>junio 25</t>
        </is>
      </c>
      <c r="C21" s="2" t="inlineStr">
        <is>
          <t>externa</t>
        </is>
      </c>
      <c r="D21" s="3" t="inlineStr">
        <is>
          <t>Javiera Soto</t>
        </is>
      </c>
      <c r="E21" s="3" t="inlineStr">
        <is>
          <t>Soledad Rodríguez Contreras</t>
        </is>
      </c>
      <c r="F21" s="2" t="inlineStr">
        <is>
          <t>Externo</t>
        </is>
      </c>
      <c r="G21" s="2" t="inlineStr">
        <is>
          <t>Técnico A</t>
        </is>
      </c>
      <c r="H21" s="3" t="inlineStr">
        <is>
          <t>Técnico Eléctrico</t>
        </is>
      </c>
      <c r="I21" s="2" t="inlineStr">
        <is>
          <t>Planta Magallanes</t>
        </is>
      </c>
      <c r="J21" s="2" t="inlineStr">
        <is>
          <t>Industrial</t>
        </is>
      </c>
      <c r="K21" s="2" t="inlineStr">
        <is>
          <t>No</t>
        </is>
      </c>
      <c r="L21" s="2" t="inlineStr">
        <is>
          <t>A170020709</t>
        </is>
      </c>
      <c r="M21" s="2" t="inlineStr">
        <is>
          <t>CV_Soledad_Rodríguez.pdf</t>
        </is>
      </c>
      <c r="N21" s="2" t="inlineStr">
        <is>
          <t>DC_Técnico_Eléctrico.pdf</t>
        </is>
      </c>
      <c r="O21" s="4" t="inlineStr">
        <is>
          <t>Énfasis en disposición a sistema de turnos 7x7 en centro remoto.</t>
        </is>
      </c>
      <c r="P21" s="3" t="inlineStr"/>
      <c r="Q21" s="5" t="n">
        <v>45819</v>
      </c>
      <c r="R21" s="5" t="n">
        <v>45825</v>
      </c>
      <c r="S21" s="5" t="n">
        <v>45828</v>
      </c>
      <c r="T21" s="2">
        <f>NETWORKDAYS(R21,S21)-1</f>
        <v/>
      </c>
      <c r="U21" s="6" t="inlineStr">
        <is>
          <t>Recomendado con observaciones</t>
        </is>
      </c>
    </row>
    <row r="22">
      <c r="A22" s="2" t="n">
        <v>21</v>
      </c>
      <c r="B22" s="2" t="inlineStr">
        <is>
          <t>junio 25</t>
        </is>
      </c>
      <c r="C22" s="2" t="inlineStr">
        <is>
          <t>interna</t>
        </is>
      </c>
      <c r="D22" s="3" t="inlineStr">
        <is>
          <t>Macarena Vidal</t>
        </is>
      </c>
      <c r="E22" s="3" t="inlineStr">
        <is>
          <t>Karen Álvarez González</t>
        </is>
      </c>
      <c r="F22" s="2" t="inlineStr">
        <is>
          <t>Interno</t>
        </is>
      </c>
      <c r="G22" s="2" t="inlineStr">
        <is>
          <t>Profesional B C</t>
        </is>
      </c>
      <c r="H22" s="3" t="inlineStr">
        <is>
          <t>Prevencionista de Riesgos</t>
        </is>
      </c>
      <c r="I22" s="2" t="inlineStr">
        <is>
          <t>Pargua PA</t>
        </is>
      </c>
      <c r="J22" s="2" t="inlineStr">
        <is>
          <t>Otros Producción</t>
        </is>
      </c>
      <c r="K22" s="2" t="inlineStr">
        <is>
          <t>No</t>
        </is>
      </c>
      <c r="L22" s="2" t="inlineStr">
        <is>
          <t>A170030404</t>
        </is>
      </c>
      <c r="M22" s="2" t="inlineStr"/>
      <c r="N22" s="2" t="inlineStr">
        <is>
          <t>DC_Prevencionista_de_Riesgos.pdf</t>
        </is>
      </c>
      <c r="O22" s="4" t="inlineStr">
        <is>
          <t>Validar tolerancia a la presión y organización de tareas.</t>
        </is>
      </c>
      <c r="P22" s="3" t="inlineStr"/>
      <c r="Q22" s="5" t="n">
        <v>45810</v>
      </c>
      <c r="R22" s="5" t="n">
        <v>45814</v>
      </c>
      <c r="S22" s="5" t="n">
        <v>45817</v>
      </c>
      <c r="T22" s="2">
        <f>NETWORKDAYS(R22,S22)-1</f>
        <v/>
      </c>
      <c r="U22" s="7" t="inlineStr">
        <is>
          <t>Recomendado</t>
        </is>
      </c>
    </row>
    <row r="23">
      <c r="A23" s="2" t="n">
        <v>22</v>
      </c>
      <c r="B23" s="2" t="inlineStr">
        <is>
          <t>junio 25</t>
        </is>
      </c>
      <c r="C23" s="2" t="inlineStr">
        <is>
          <t>interna</t>
        </is>
      </c>
      <c r="D23" s="3" t="inlineStr">
        <is>
          <t>Carolina Muñoz</t>
        </is>
      </c>
      <c r="E23" s="3" t="inlineStr">
        <is>
          <t>Héctor Rojas Pizarro</t>
        </is>
      </c>
      <c r="F23" s="2" t="inlineStr">
        <is>
          <t>Interno</t>
        </is>
      </c>
      <c r="G23" s="2" t="inlineStr">
        <is>
          <t>Técnico B C</t>
        </is>
      </c>
      <c r="H23" s="3" t="inlineStr">
        <is>
          <t>Técnico Laboratorio</t>
        </is>
      </c>
      <c r="I23" s="2" t="inlineStr">
        <is>
          <t>Piscicultura Rupanco</t>
        </is>
      </c>
      <c r="J23" s="2" t="inlineStr">
        <is>
          <t>Producción AD</t>
        </is>
      </c>
      <c r="K23" s="2" t="inlineStr">
        <is>
          <t>No</t>
        </is>
      </c>
      <c r="L23" s="2" t="inlineStr"/>
      <c r="M23" s="2" t="inlineStr"/>
      <c r="N23" s="2" t="inlineStr">
        <is>
          <t>DC_Técnico_Laboratorio.pdf</t>
        </is>
      </c>
      <c r="O23" s="4" t="inlineStr">
        <is>
          <t>Validar atención al detalle y cumplimiento de protocolos.</t>
        </is>
      </c>
      <c r="P23" s="3" t="inlineStr"/>
      <c r="Q23" s="5" t="n">
        <v>45817</v>
      </c>
      <c r="R23" s="5" t="n">
        <v>45825</v>
      </c>
      <c r="S23" s="5" t="n">
        <v>45827</v>
      </c>
      <c r="T23" s="2">
        <f>NETWORKDAYS(R23,S23)-1</f>
        <v/>
      </c>
      <c r="U23" s="7" t="inlineStr">
        <is>
          <t>Recomendado</t>
        </is>
      </c>
    </row>
    <row r="24">
      <c r="A24" s="2" t="n">
        <v>23</v>
      </c>
      <c r="B24" s="2" t="inlineStr">
        <is>
          <t>junio 25</t>
        </is>
      </c>
      <c r="C24" s="2" t="inlineStr">
        <is>
          <t>interna</t>
        </is>
      </c>
      <c r="D24" s="3" t="inlineStr">
        <is>
          <t>Carolina Muñoz</t>
        </is>
      </c>
      <c r="E24" s="3" t="inlineStr">
        <is>
          <t>Nicolás Díaz Vásquez</t>
        </is>
      </c>
      <c r="F24" s="2" t="inlineStr">
        <is>
          <t>Interno</t>
        </is>
      </c>
      <c r="G24" s="2" t="inlineStr">
        <is>
          <t>Técnico B C</t>
        </is>
      </c>
      <c r="H24" s="3" t="inlineStr">
        <is>
          <t>Técnico Laboratorio</t>
        </is>
      </c>
      <c r="I24" s="2" t="inlineStr">
        <is>
          <t>Piscicultura Rupanco</t>
        </is>
      </c>
      <c r="J24" s="2" t="inlineStr">
        <is>
          <t>Producción AD</t>
        </is>
      </c>
      <c r="K24" s="2" t="inlineStr">
        <is>
          <t>No</t>
        </is>
      </c>
      <c r="L24" s="2" t="inlineStr"/>
      <c r="M24" s="2" t="inlineStr"/>
      <c r="N24" s="2" t="inlineStr">
        <is>
          <t>DC_Técnico_Laboratorio.pdf</t>
        </is>
      </c>
      <c r="O24" s="4" t="inlineStr">
        <is>
          <t>Indagar en disposición a turnos rotativos.</t>
        </is>
      </c>
      <c r="P24" s="3" t="inlineStr"/>
      <c r="Q24" s="5" t="n">
        <v>45818</v>
      </c>
      <c r="R24" s="5" t="n">
        <v>45824</v>
      </c>
      <c r="S24" s="5" t="n">
        <v>45826</v>
      </c>
      <c r="T24" s="2">
        <f>NETWORKDAYS(R24,S24)-1</f>
        <v/>
      </c>
      <c r="U24" s="6" t="inlineStr">
        <is>
          <t>Recomendado con observaciones</t>
        </is>
      </c>
    </row>
    <row r="25">
      <c r="A25" s="2" t="n">
        <v>24</v>
      </c>
      <c r="B25" s="2" t="inlineStr">
        <is>
          <t>junio 25</t>
        </is>
      </c>
      <c r="C25" s="2" t="inlineStr">
        <is>
          <t>interna</t>
        </is>
      </c>
      <c r="D25" s="3" t="inlineStr">
        <is>
          <t>Fernanda Rojas</t>
        </is>
      </c>
      <c r="E25" s="3" t="inlineStr">
        <is>
          <t>Paulina López Uribe</t>
        </is>
      </c>
      <c r="F25" s="2" t="inlineStr">
        <is>
          <t>Interno</t>
        </is>
      </c>
      <c r="G25" s="2" t="inlineStr">
        <is>
          <t>Técnico A</t>
        </is>
      </c>
      <c r="H25" s="3" t="inlineStr">
        <is>
          <t>Técnico Eléctrico</t>
        </is>
      </c>
      <c r="I25" s="2" t="inlineStr">
        <is>
          <t>Pargua PA</t>
        </is>
      </c>
      <c r="J25" s="2" t="inlineStr">
        <is>
          <t>Otros Producción</t>
        </is>
      </c>
      <c r="K25" s="2" t="inlineStr">
        <is>
          <t>No</t>
        </is>
      </c>
      <c r="L25" s="2" t="inlineStr">
        <is>
          <t>A170030402</t>
        </is>
      </c>
      <c r="M25" s="2" t="inlineStr"/>
      <c r="N25" s="2" t="inlineStr">
        <is>
          <t>DC_Técnico_Eléctrico.pdf</t>
        </is>
      </c>
      <c r="O25" s="4" t="inlineStr">
        <is>
          <t>Énfasis en disposición a sistema de turnos 7x7 en centro remoto.</t>
        </is>
      </c>
      <c r="P25" s="3" t="inlineStr"/>
      <c r="Q25" s="5" t="n">
        <v>45814</v>
      </c>
      <c r="R25" s="5" t="n">
        <v>45824</v>
      </c>
      <c r="S25" s="5" t="n">
        <v>45825</v>
      </c>
      <c r="T25" s="2">
        <f>NETWORKDAYS(R25,S25)-1</f>
        <v/>
      </c>
      <c r="U25" s="7" t="inlineStr">
        <is>
          <t>Recomendado</t>
        </is>
      </c>
    </row>
    <row r="26">
      <c r="A26" s="2" t="n">
        <v>25</v>
      </c>
      <c r="B26" s="2" t="inlineStr">
        <is>
          <t>junio 25</t>
        </is>
      </c>
      <c r="C26" s="2" t="inlineStr">
        <is>
          <t>externa</t>
        </is>
      </c>
      <c r="D26" s="3" t="inlineStr">
        <is>
          <t>Fernanda Rojas</t>
        </is>
      </c>
      <c r="E26" s="3" t="inlineStr">
        <is>
          <t>Nicolás Álvarez Castro</t>
        </is>
      </c>
      <c r="F26" s="2" t="inlineStr">
        <is>
          <t>Externo</t>
        </is>
      </c>
      <c r="G26" s="2" t="inlineStr">
        <is>
          <t>Jefatura</t>
        </is>
      </c>
      <c r="H26" s="3" t="inlineStr">
        <is>
          <t>Jefe de Turno</t>
        </is>
      </c>
      <c r="I26" s="2" t="inlineStr">
        <is>
          <t>Planta Calbuco</t>
        </is>
      </c>
      <c r="J26" s="2" t="inlineStr">
        <is>
          <t>Industrial</t>
        </is>
      </c>
      <c r="K26" s="2" t="inlineStr">
        <is>
          <t>Sí</t>
        </is>
      </c>
      <c r="L26" s="2" t="inlineStr">
        <is>
          <t>A170021107</t>
        </is>
      </c>
      <c r="M26" s="2" t="inlineStr">
        <is>
          <t>CV_Nicolás_Álvarez.pdf</t>
        </is>
      </c>
      <c r="N26" s="2" t="inlineStr">
        <is>
          <t>DC_Jefe_de_Turno.pdf</t>
        </is>
      </c>
      <c r="O26" s="4" t="inlineStr">
        <is>
          <t>Evaluar estilo de liderazgo y manejo de indicadores.</t>
        </is>
      </c>
      <c r="P26" s="3" t="inlineStr">
        <is>
          <t>2 referencias favorables</t>
        </is>
      </c>
      <c r="Q26" s="5" t="n">
        <v>45817</v>
      </c>
      <c r="R26" s="5" t="n">
        <v>45824</v>
      </c>
      <c r="S26" s="5" t="n">
        <v>45827</v>
      </c>
      <c r="T26" s="2">
        <f>NETWORKDAYS(R26,S26)-1</f>
        <v/>
      </c>
      <c r="U26" s="7" t="inlineStr">
        <is>
          <t>Recomendado</t>
        </is>
      </c>
    </row>
    <row r="27">
      <c r="A27" s="2" t="n">
        <v>26</v>
      </c>
      <c r="B27" s="2" t="inlineStr">
        <is>
          <t>julio 25</t>
        </is>
      </c>
      <c r="C27" s="2" t="inlineStr">
        <is>
          <t>interna</t>
        </is>
      </c>
      <c r="D27" s="3" t="inlineStr">
        <is>
          <t>Macarena Vidal</t>
        </is>
      </c>
      <c r="E27" s="3" t="inlineStr">
        <is>
          <t>Cristián Muñoz Muñoz</t>
        </is>
      </c>
      <c r="F27" s="2" t="inlineStr">
        <is>
          <t>Interno</t>
        </is>
      </c>
      <c r="G27" s="2" t="inlineStr">
        <is>
          <t>Profesional A</t>
        </is>
      </c>
      <c r="H27" s="3" t="inlineStr">
        <is>
          <t>Líder Desarrollo Producción</t>
        </is>
      </c>
      <c r="I27" s="2" t="inlineStr">
        <is>
          <t>Oficina Central</t>
        </is>
      </c>
      <c r="J27" s="2" t="inlineStr">
        <is>
          <t>Corporativo</t>
        </is>
      </c>
      <c r="K27" s="2" t="inlineStr">
        <is>
          <t>No</t>
        </is>
      </c>
      <c r="L27" s="2" t="inlineStr">
        <is>
          <t>A170010308</t>
        </is>
      </c>
      <c r="M27" s="2" t="inlineStr"/>
      <c r="N27" s="2" t="inlineStr">
        <is>
          <t>DC_Líder_Desarrollo_Producción.pdf</t>
        </is>
      </c>
      <c r="O27" s="4" t="inlineStr">
        <is>
          <t>Indagar en liderazgo de equipos y gestión del cambio. Proceso confidencial para el candidato.</t>
        </is>
      </c>
      <c r="P27" s="3" t="inlineStr"/>
      <c r="Q27" s="5" t="n">
        <v>45852</v>
      </c>
      <c r="R27" s="5" t="n">
        <v>45856</v>
      </c>
      <c r="S27" s="5" t="n">
        <v>45860</v>
      </c>
      <c r="T27" s="2">
        <f>NETWORKDAYS(R27,S27)-1</f>
        <v/>
      </c>
      <c r="U27" s="7" t="inlineStr">
        <is>
          <t>Recomendado</t>
        </is>
      </c>
    </row>
    <row r="28">
      <c r="A28" s="2" t="n">
        <v>27</v>
      </c>
      <c r="B28" s="2" t="inlineStr">
        <is>
          <t>julio 25</t>
        </is>
      </c>
      <c r="C28" s="2" t="inlineStr">
        <is>
          <t>externa</t>
        </is>
      </c>
      <c r="D28" s="3" t="inlineStr">
        <is>
          <t>Fernanda Rojas</t>
        </is>
      </c>
      <c r="E28" s="3" t="inlineStr">
        <is>
          <t>Patricio Araya Tapia</t>
        </is>
      </c>
      <c r="F28" s="2" t="inlineStr">
        <is>
          <t>Externo</t>
        </is>
      </c>
      <c r="G28" s="2" t="inlineStr">
        <is>
          <t>Profesional B C</t>
        </is>
      </c>
      <c r="H28" s="3" t="inlineStr">
        <is>
          <t>Prevencionista de Riesgos</t>
        </is>
      </c>
      <c r="I28" s="2" t="inlineStr">
        <is>
          <t>AM Melinka</t>
        </is>
      </c>
      <c r="J28" s="2" t="inlineStr">
        <is>
          <t>Producción AM</t>
        </is>
      </c>
      <c r="K28" s="2" t="inlineStr">
        <is>
          <t>Sí</t>
        </is>
      </c>
      <c r="L28" s="2" t="inlineStr">
        <is>
          <t>A170040211</t>
        </is>
      </c>
      <c r="M28" s="2" t="inlineStr">
        <is>
          <t>CV_Patricio_Araya.pdf</t>
        </is>
      </c>
      <c r="N28" s="2" t="inlineStr">
        <is>
          <t>DC_Prevencionista_de_Riesgos.pdf</t>
        </is>
      </c>
      <c r="O28" s="4" t="inlineStr">
        <is>
          <t>Indagar en capacidad analítica y manejo de herramientas digitales.</t>
        </is>
      </c>
      <c r="P28" s="3" t="inlineStr">
        <is>
          <t>2 referencias favorables</t>
        </is>
      </c>
      <c r="Q28" s="5" t="n">
        <v>45855</v>
      </c>
      <c r="R28" s="5" t="n">
        <v>45861</v>
      </c>
      <c r="S28" s="5" t="n">
        <v>45862</v>
      </c>
      <c r="T28" s="2">
        <f>NETWORKDAYS(R28,S28)-1</f>
        <v/>
      </c>
      <c r="U28" s="6" t="inlineStr">
        <is>
          <t>Recomendado con observaciones</t>
        </is>
      </c>
    </row>
    <row r="29">
      <c r="A29" s="2" t="n">
        <v>28</v>
      </c>
      <c r="B29" s="2" t="inlineStr">
        <is>
          <t>julio 25</t>
        </is>
      </c>
      <c r="C29" s="2" t="inlineStr">
        <is>
          <t>interna</t>
        </is>
      </c>
      <c r="D29" s="3" t="inlineStr">
        <is>
          <t>Javiera Soto</t>
        </is>
      </c>
      <c r="E29" s="3" t="inlineStr">
        <is>
          <t>Francisco Gutiérrez Hernández</t>
        </is>
      </c>
      <c r="F29" s="2" t="inlineStr">
        <is>
          <t>Interno</t>
        </is>
      </c>
      <c r="G29" s="2" t="inlineStr">
        <is>
          <t>Profesional A</t>
        </is>
      </c>
      <c r="H29" s="3" t="inlineStr">
        <is>
          <t>Jefe de Proyectos TI</t>
        </is>
      </c>
      <c r="I29" s="2" t="inlineStr">
        <is>
          <t>Oficina Central</t>
        </is>
      </c>
      <c r="J29" s="2" t="inlineStr">
        <is>
          <t>Corporativo</t>
        </is>
      </c>
      <c r="K29" s="2" t="inlineStr">
        <is>
          <t>No</t>
        </is>
      </c>
      <c r="L29" s="2" t="inlineStr"/>
      <c r="M29" s="2" t="inlineStr"/>
      <c r="N29" s="2" t="inlineStr">
        <is>
          <t>DC_Jefe_de_Proyectos_TI.pdf</t>
        </is>
      </c>
      <c r="O29" s="4" t="inlineStr">
        <is>
          <t>Énfasis en visión estratégica y relacionamiento con gerencias.</t>
        </is>
      </c>
      <c r="P29" s="3" t="inlineStr"/>
      <c r="Q29" s="5" t="n">
        <v>45847</v>
      </c>
      <c r="R29" s="5" t="n">
        <v>45853</v>
      </c>
      <c r="S29" s="5" t="n">
        <v>45859</v>
      </c>
      <c r="T29" s="2">
        <f>NETWORKDAYS(R29,S29)-1</f>
        <v/>
      </c>
      <c r="U29" s="7" t="inlineStr">
        <is>
          <t>Recomendado</t>
        </is>
      </c>
    </row>
    <row r="30">
      <c r="A30" s="2" t="n">
        <v>29</v>
      </c>
      <c r="B30" s="2" t="inlineStr">
        <is>
          <t>julio 25</t>
        </is>
      </c>
      <c r="C30" s="2" t="inlineStr">
        <is>
          <t>interna</t>
        </is>
      </c>
      <c r="D30" s="3" t="inlineStr">
        <is>
          <t>Macarena Vidal</t>
        </is>
      </c>
      <c r="E30" s="3" t="inlineStr">
        <is>
          <t>Andrés Valenzuela López</t>
        </is>
      </c>
      <c r="F30" s="2" t="inlineStr">
        <is>
          <t>Interno</t>
        </is>
      </c>
      <c r="G30" s="2" t="inlineStr">
        <is>
          <t>Supervisor B</t>
        </is>
      </c>
      <c r="H30" s="3" t="inlineStr">
        <is>
          <t>Supervisor Planta</t>
        </is>
      </c>
      <c r="I30" s="2" t="inlineStr">
        <is>
          <t>Planta Cailin</t>
        </is>
      </c>
      <c r="J30" s="2" t="inlineStr">
        <is>
          <t>Industrial</t>
        </is>
      </c>
      <c r="K30" s="2" t="inlineStr">
        <is>
          <t>No</t>
        </is>
      </c>
      <c r="L30" s="2" t="inlineStr">
        <is>
          <t>A170021507</t>
        </is>
      </c>
      <c r="M30" s="2" t="inlineStr"/>
      <c r="N30" s="2" t="inlineStr">
        <is>
          <t>DC_Supervisor_Planta.pdf</t>
        </is>
      </c>
      <c r="O30" s="4" t="inlineStr">
        <is>
          <t>Énfasis en comunicación efectiva y toma de decisiones bajo presión.</t>
        </is>
      </c>
      <c r="P30" s="3" t="inlineStr"/>
      <c r="Q30" s="5" t="n">
        <v>45845</v>
      </c>
      <c r="R30" s="5" t="n">
        <v>45852</v>
      </c>
      <c r="S30" s="5" t="n">
        <v>45853</v>
      </c>
      <c r="T30" s="2">
        <f>NETWORKDAYS(R30,S30)-1</f>
        <v/>
      </c>
      <c r="U30" s="8" t="inlineStr">
        <is>
          <t>No recomendado</t>
        </is>
      </c>
    </row>
    <row r="31">
      <c r="A31" s="2" t="n">
        <v>30</v>
      </c>
      <c r="B31" s="2" t="inlineStr">
        <is>
          <t>julio 25</t>
        </is>
      </c>
      <c r="C31" s="2" t="inlineStr">
        <is>
          <t>externa</t>
        </is>
      </c>
      <c r="D31" s="3" t="inlineStr">
        <is>
          <t>Javiera Soto</t>
        </is>
      </c>
      <c r="E31" s="3" t="inlineStr">
        <is>
          <t>Karen Martínez Contreras</t>
        </is>
      </c>
      <c r="F31" s="2" t="inlineStr">
        <is>
          <t>Externo</t>
        </is>
      </c>
      <c r="G31" s="2" t="inlineStr">
        <is>
          <t>Profesional A</t>
        </is>
      </c>
      <c r="H31" s="3" t="inlineStr">
        <is>
          <t>Jefe de Proyectos TI</t>
        </is>
      </c>
      <c r="I31" s="2" t="inlineStr">
        <is>
          <t>Oficina Central</t>
        </is>
      </c>
      <c r="J31" s="2" t="inlineStr">
        <is>
          <t>Corporativo</t>
        </is>
      </c>
      <c r="K31" s="2" t="inlineStr">
        <is>
          <t>Sí</t>
        </is>
      </c>
      <c r="L31" s="2" t="inlineStr">
        <is>
          <t>A170010301</t>
        </is>
      </c>
      <c r="M31" s="2" t="inlineStr">
        <is>
          <t>CV_Karen_Martínez.pdf</t>
        </is>
      </c>
      <c r="N31" s="2" t="inlineStr">
        <is>
          <t>DC_Jefe_de_Proyectos_TI.pdf</t>
        </is>
      </c>
      <c r="O31" s="4" t="inlineStr">
        <is>
          <t>Indagar en liderazgo de equipos y gestión del cambio. Proceso confidencial para el candidato.</t>
        </is>
      </c>
      <c r="P31" s="3" t="inlineStr">
        <is>
          <t>1 referencia con observaciones</t>
        </is>
      </c>
      <c r="Q31" s="5" t="n">
        <v>45856</v>
      </c>
      <c r="R31" s="5" t="n">
        <v>45861</v>
      </c>
      <c r="S31" s="5" t="n">
        <v>45867</v>
      </c>
      <c r="T31" s="2">
        <f>NETWORKDAYS(R31,S31)-1</f>
        <v/>
      </c>
      <c r="U31" s="6" t="inlineStr">
        <is>
          <t>Recomendado con observaciones</t>
        </is>
      </c>
    </row>
    <row r="32">
      <c r="A32" s="2" t="n">
        <v>31</v>
      </c>
      <c r="B32" s="2" t="inlineStr">
        <is>
          <t>julio 25</t>
        </is>
      </c>
      <c r="C32" s="2" t="inlineStr">
        <is>
          <t>interna</t>
        </is>
      </c>
      <c r="D32" s="3" t="inlineStr">
        <is>
          <t>Carolina Muñoz</t>
        </is>
      </c>
      <c r="E32" s="3" t="inlineStr">
        <is>
          <t>Felipe Vargas Contreras</t>
        </is>
      </c>
      <c r="F32" s="2" t="inlineStr">
        <is>
          <t>Interno</t>
        </is>
      </c>
      <c r="G32" s="2" t="inlineStr">
        <is>
          <t>Técnico A</t>
        </is>
      </c>
      <c r="H32" s="3" t="inlineStr">
        <is>
          <t>Técnico Mantención Senior</t>
        </is>
      </c>
      <c r="I32" s="2" t="inlineStr">
        <is>
          <t>AM Chonchi</t>
        </is>
      </c>
      <c r="J32" s="2" t="inlineStr">
        <is>
          <t>Producción AM</t>
        </is>
      </c>
      <c r="K32" s="2" t="inlineStr">
        <is>
          <t>No</t>
        </is>
      </c>
      <c r="L32" s="2" t="inlineStr">
        <is>
          <t>A170040512</t>
        </is>
      </c>
      <c r="M32" s="2" t="inlineStr"/>
      <c r="N32" s="2" t="inlineStr">
        <is>
          <t>DC_Técnico_Mantención_Senior.pdf</t>
        </is>
      </c>
      <c r="O32" s="4" t="inlineStr">
        <is>
          <t>Indagar en resolución de problemas técnicos y autonomía.</t>
        </is>
      </c>
      <c r="P32" s="3" t="inlineStr"/>
      <c r="Q32" s="5" t="n">
        <v>45852</v>
      </c>
      <c r="R32" s="5" t="n">
        <v>45856</v>
      </c>
      <c r="S32" s="5" t="n">
        <v>45861</v>
      </c>
      <c r="T32" s="2">
        <f>NETWORKDAYS(R32,S32)-1</f>
        <v/>
      </c>
      <c r="U32" s="7" t="inlineStr">
        <is>
          <t>Recomendado</t>
        </is>
      </c>
    </row>
    <row r="33">
      <c r="A33" s="2" t="n">
        <v>32</v>
      </c>
      <c r="B33" s="2" t="inlineStr">
        <is>
          <t>julio 25</t>
        </is>
      </c>
      <c r="C33" s="2" t="inlineStr">
        <is>
          <t>interna</t>
        </is>
      </c>
      <c r="D33" s="3" t="inlineStr">
        <is>
          <t>Daniela Contreras</t>
        </is>
      </c>
      <c r="E33" s="3" t="inlineStr">
        <is>
          <t>Andrea Castro López</t>
        </is>
      </c>
      <c r="F33" s="2" t="inlineStr">
        <is>
          <t>Interno</t>
        </is>
      </c>
      <c r="G33" s="2" t="inlineStr">
        <is>
          <t>Profesional B C</t>
        </is>
      </c>
      <c r="H33" s="3" t="inlineStr">
        <is>
          <t>Prevencionista de Riesgos</t>
        </is>
      </c>
      <c r="I33" s="2" t="inlineStr">
        <is>
          <t>Pargua PA</t>
        </is>
      </c>
      <c r="J33" s="2" t="inlineStr">
        <is>
          <t>Otros Producción</t>
        </is>
      </c>
      <c r="K33" s="2" t="inlineStr">
        <is>
          <t>No</t>
        </is>
      </c>
      <c r="L33" s="2" t="inlineStr"/>
      <c r="M33" s="2" t="inlineStr"/>
      <c r="N33" s="2" t="inlineStr">
        <is>
          <t>DC_Prevencionista_de_Riesgos.pdf</t>
        </is>
      </c>
      <c r="O33" s="4" t="inlineStr">
        <is>
          <t>Indagar en capacidad analítica y manejo de herramientas digitales.</t>
        </is>
      </c>
      <c r="P33" s="3" t="inlineStr"/>
      <c r="Q33" s="5" t="n">
        <v>45859</v>
      </c>
      <c r="R33" s="5" t="n">
        <v>45861</v>
      </c>
      <c r="S33" s="5" t="n">
        <v>45867</v>
      </c>
      <c r="T33" s="2">
        <f>NETWORKDAYS(R33,S33)-1</f>
        <v/>
      </c>
      <c r="U33" s="7" t="inlineStr">
        <is>
          <t>Recomendado</t>
        </is>
      </c>
    </row>
    <row r="34">
      <c r="A34" s="2" t="n">
        <v>33</v>
      </c>
      <c r="B34" s="2" t="inlineStr">
        <is>
          <t>julio 25</t>
        </is>
      </c>
      <c r="C34" s="2" t="inlineStr">
        <is>
          <t>interna</t>
        </is>
      </c>
      <c r="D34" s="3" t="inlineStr">
        <is>
          <t>Javiera Soto</t>
        </is>
      </c>
      <c r="E34" s="3" t="inlineStr">
        <is>
          <t>Paulina Ruiz Sepúlveda</t>
        </is>
      </c>
      <c r="F34" s="2" t="inlineStr">
        <is>
          <t>Interno</t>
        </is>
      </c>
      <c r="G34" s="2" t="inlineStr">
        <is>
          <t>Técnico B C</t>
        </is>
      </c>
      <c r="H34" s="3" t="inlineStr">
        <is>
          <t>Técnico Laboratorio</t>
        </is>
      </c>
      <c r="I34" s="2" t="inlineStr">
        <is>
          <t>Codihue</t>
        </is>
      </c>
      <c r="J34" s="2" t="inlineStr">
        <is>
          <t>Producción AD</t>
        </is>
      </c>
      <c r="K34" s="2" t="inlineStr">
        <is>
          <t>No</t>
        </is>
      </c>
      <c r="L34" s="2" t="inlineStr">
        <is>
          <t>A170050102</t>
        </is>
      </c>
      <c r="M34" s="2" t="inlineStr"/>
      <c r="N34" s="2" t="inlineStr">
        <is>
          <t>DC_Técnico_Laboratorio.pdf</t>
        </is>
      </c>
      <c r="O34" s="4" t="inlineStr">
        <is>
          <t>Indagar en disposición a turnos rotativos.</t>
        </is>
      </c>
      <c r="P34" s="3" t="inlineStr"/>
      <c r="Q34" s="5" t="n">
        <v>45855</v>
      </c>
      <c r="R34" s="5" t="n">
        <v>45859</v>
      </c>
      <c r="S34" s="5" t="n">
        <v>45863</v>
      </c>
      <c r="T34" s="2">
        <f>NETWORKDAYS(R34,S34)-1</f>
        <v/>
      </c>
      <c r="U34" s="7" t="inlineStr">
        <is>
          <t>Recomendado</t>
        </is>
      </c>
    </row>
    <row r="35">
      <c r="A35" s="2" t="n">
        <v>34</v>
      </c>
      <c r="B35" s="2" t="inlineStr">
        <is>
          <t>agosto 25</t>
        </is>
      </c>
      <c r="C35" s="2" t="inlineStr">
        <is>
          <t>interna</t>
        </is>
      </c>
      <c r="D35" s="3" t="inlineStr">
        <is>
          <t>Carolina Muñoz</t>
        </is>
      </c>
      <c r="E35" s="3" t="inlineStr">
        <is>
          <t>Paola Castillo Cárcamo</t>
        </is>
      </c>
      <c r="F35" s="2" t="inlineStr">
        <is>
          <t>Interno</t>
        </is>
      </c>
      <c r="G35" s="2" t="inlineStr">
        <is>
          <t>Operario Calificado</t>
        </is>
      </c>
      <c r="H35" s="3" t="inlineStr">
        <is>
          <t>Grúero</t>
        </is>
      </c>
      <c r="I35" s="2" t="inlineStr">
        <is>
          <t>Planta Magallanes</t>
        </is>
      </c>
      <c r="J35" s="2" t="inlineStr">
        <is>
          <t>Industrial</t>
        </is>
      </c>
      <c r="K35" s="2" t="inlineStr">
        <is>
          <t>No</t>
        </is>
      </c>
      <c r="L35" s="2" t="inlineStr">
        <is>
          <t>A170020712</t>
        </is>
      </c>
      <c r="M35" s="2" t="inlineStr"/>
      <c r="N35" s="2" t="inlineStr">
        <is>
          <t>DC_Grúero.pdf</t>
        </is>
      </c>
      <c r="O35" s="4" t="inlineStr">
        <is>
          <t>Validar autocuidado y cumplimiento de procedimientos.</t>
        </is>
      </c>
      <c r="P35" s="3" t="inlineStr"/>
      <c r="Q35" s="5" t="n">
        <v>45873</v>
      </c>
      <c r="R35" s="5" t="n">
        <v>45880</v>
      </c>
      <c r="S35" s="5" t="n">
        <v>45882</v>
      </c>
      <c r="T35" s="2">
        <f>NETWORKDAYS(R35,S35)-1</f>
        <v/>
      </c>
      <c r="U35" s="7" t="inlineStr">
        <is>
          <t>Recomendado</t>
        </is>
      </c>
    </row>
    <row r="36">
      <c r="A36" s="2" t="n">
        <v>35</v>
      </c>
      <c r="B36" s="2" t="inlineStr">
        <is>
          <t>agosto 25</t>
        </is>
      </c>
      <c r="C36" s="2" t="inlineStr">
        <is>
          <t>externa</t>
        </is>
      </c>
      <c r="D36" s="3" t="inlineStr">
        <is>
          <t>Javiera Soto</t>
        </is>
      </c>
      <c r="E36" s="3" t="inlineStr">
        <is>
          <t>Nicolás Oyarzún Gallardo</t>
        </is>
      </c>
      <c r="F36" s="2" t="inlineStr">
        <is>
          <t>Externo</t>
        </is>
      </c>
      <c r="G36" s="2" t="inlineStr">
        <is>
          <t>Supervisor B</t>
        </is>
      </c>
      <c r="H36" s="3" t="inlineStr">
        <is>
          <t>Supervisor Centro de Cultivo</t>
        </is>
      </c>
      <c r="I36" s="2" t="inlineStr">
        <is>
          <t>AM Chonchi</t>
        </is>
      </c>
      <c r="J36" s="2" t="inlineStr">
        <is>
          <t>Producción AM</t>
        </is>
      </c>
      <c r="K36" s="2" t="inlineStr">
        <is>
          <t>Sí</t>
        </is>
      </c>
      <c r="L36" s="2" t="inlineStr">
        <is>
          <t>A170040506</t>
        </is>
      </c>
      <c r="M36" s="2" t="inlineStr">
        <is>
          <t>CV_Nicolás_Oyarzún.pdf</t>
        </is>
      </c>
      <c r="N36" s="2" t="inlineStr">
        <is>
          <t>DC_Supervisor_Centro_de_Cultivo.pdf</t>
        </is>
      </c>
      <c r="O36" s="4" t="inlineStr">
        <is>
          <t>Énfasis en comunicación efectiva y toma de decisiones bajo presión.</t>
        </is>
      </c>
      <c r="P36" s="3" t="inlineStr">
        <is>
          <t>Referencias favorables</t>
        </is>
      </c>
      <c r="Q36" s="5" t="n">
        <v>45873</v>
      </c>
      <c r="R36" s="5" t="n">
        <v>45875</v>
      </c>
      <c r="S36" s="5" t="n">
        <v>45881</v>
      </c>
      <c r="T36" s="2">
        <f>NETWORKDAYS(R36,S36)-1</f>
        <v/>
      </c>
      <c r="U36" s="8" t="inlineStr">
        <is>
          <t>No recomendado</t>
        </is>
      </c>
    </row>
    <row r="37">
      <c r="A37" s="2" t="n">
        <v>36</v>
      </c>
      <c r="B37" s="2" t="inlineStr">
        <is>
          <t>agosto 25</t>
        </is>
      </c>
      <c r="C37" s="2" t="inlineStr">
        <is>
          <t>interna</t>
        </is>
      </c>
      <c r="D37" s="3" t="inlineStr">
        <is>
          <t>Javiera Soto</t>
        </is>
      </c>
      <c r="E37" s="3" t="inlineStr">
        <is>
          <t>Sebastián Castillo Cárcamo</t>
        </is>
      </c>
      <c r="F37" s="2" t="inlineStr">
        <is>
          <t>Interno</t>
        </is>
      </c>
      <c r="G37" s="2" t="inlineStr">
        <is>
          <t>Operario Calificado</t>
        </is>
      </c>
      <c r="H37" s="3" t="inlineStr">
        <is>
          <t>Operador Grúa Horquilla</t>
        </is>
      </c>
      <c r="I37" s="2" t="inlineStr">
        <is>
          <t>Planta Cailin</t>
        </is>
      </c>
      <c r="J37" s="2" t="inlineStr">
        <is>
          <t>Industrial</t>
        </is>
      </c>
      <c r="K37" s="2" t="inlineStr">
        <is>
          <t>No</t>
        </is>
      </c>
      <c r="L37" s="2" t="inlineStr"/>
      <c r="M37" s="2" t="inlineStr"/>
      <c r="N37" s="2" t="inlineStr">
        <is>
          <t>DC_Operador_Grúa_Horquilla.pdf</t>
        </is>
      </c>
      <c r="O37" s="4" t="inlineStr">
        <is>
          <t>Validar autocuidado y cumplimiento de procedimientos.</t>
        </is>
      </c>
      <c r="P37" s="3" t="inlineStr"/>
      <c r="Q37" s="5" t="n">
        <v>45875</v>
      </c>
      <c r="R37" s="5" t="n">
        <v>45880</v>
      </c>
      <c r="S37" s="5" t="n">
        <v>45884</v>
      </c>
      <c r="T37" s="2">
        <f>NETWORKDAYS(R37,S37)-1</f>
        <v/>
      </c>
      <c r="U37" s="7" t="inlineStr">
        <is>
          <t>Recomendado</t>
        </is>
      </c>
    </row>
    <row r="38">
      <c r="A38" s="2" t="n">
        <v>37</v>
      </c>
      <c r="B38" s="2" t="inlineStr">
        <is>
          <t>agosto 25</t>
        </is>
      </c>
      <c r="C38" s="2" t="inlineStr">
        <is>
          <t>externa</t>
        </is>
      </c>
      <c r="D38" s="3" t="inlineStr">
        <is>
          <t>Daniela Contreras</t>
        </is>
      </c>
      <c r="E38" s="3" t="inlineStr">
        <is>
          <t>Andrés Martínez Vásquez</t>
        </is>
      </c>
      <c r="F38" s="2" t="inlineStr">
        <is>
          <t>Externo</t>
        </is>
      </c>
      <c r="G38" s="2" t="inlineStr">
        <is>
          <t>Técnico A</t>
        </is>
      </c>
      <c r="H38" s="3" t="inlineStr">
        <is>
          <t>Técnico Eléctrico</t>
        </is>
      </c>
      <c r="I38" s="2" t="inlineStr">
        <is>
          <t>Pargua PA</t>
        </is>
      </c>
      <c r="J38" s="2" t="inlineStr">
        <is>
          <t>Otros Producción</t>
        </is>
      </c>
      <c r="K38" s="2" t="inlineStr">
        <is>
          <t>No</t>
        </is>
      </c>
      <c r="L38" s="2" t="inlineStr">
        <is>
          <t>A170030405</t>
        </is>
      </c>
      <c r="M38" s="2" t="inlineStr">
        <is>
          <t>CV_Andrés_Martínez.pdf</t>
        </is>
      </c>
      <c r="N38" s="2" t="inlineStr">
        <is>
          <t>DC_Técnico_Eléctrico.pdf</t>
        </is>
      </c>
      <c r="O38" s="4" t="inlineStr">
        <is>
          <t>Énfasis en disposición a sistema de turnos 7x7 en centro remoto.</t>
        </is>
      </c>
      <c r="P38" s="3" t="inlineStr"/>
      <c r="Q38" s="5" t="n">
        <v>45880</v>
      </c>
      <c r="R38" s="5" t="n">
        <v>45882</v>
      </c>
      <c r="S38" s="5" t="n">
        <v>45884</v>
      </c>
      <c r="T38" s="2">
        <f>NETWORKDAYS(R38,S38)-1</f>
        <v/>
      </c>
      <c r="U38" s="7" t="inlineStr">
        <is>
          <t>Recomendado</t>
        </is>
      </c>
    </row>
    <row r="39">
      <c r="A39" s="2" t="n">
        <v>38</v>
      </c>
      <c r="B39" s="2" t="inlineStr">
        <is>
          <t>agosto 25</t>
        </is>
      </c>
      <c r="C39" s="2" t="inlineStr">
        <is>
          <t>externa</t>
        </is>
      </c>
      <c r="D39" s="3" t="inlineStr">
        <is>
          <t>Macarena Vidal</t>
        </is>
      </c>
      <c r="E39" s="3" t="inlineStr">
        <is>
          <t>Claudio Silva Flores</t>
        </is>
      </c>
      <c r="F39" s="2" t="inlineStr">
        <is>
          <t>Externo</t>
        </is>
      </c>
      <c r="G39" s="2" t="inlineStr">
        <is>
          <t>Profesional B C</t>
        </is>
      </c>
      <c r="H39" s="3" t="inlineStr">
        <is>
          <t>Analista de Control de Gestión</t>
        </is>
      </c>
      <c r="I39" s="2" t="inlineStr">
        <is>
          <t>Oficina Central</t>
        </is>
      </c>
      <c r="J39" s="2" t="inlineStr">
        <is>
          <t>Corporativo</t>
        </is>
      </c>
      <c r="K39" s="2" t="inlineStr">
        <is>
          <t>Sí</t>
        </is>
      </c>
      <c r="L39" s="2" t="inlineStr">
        <is>
          <t>A170010305</t>
        </is>
      </c>
      <c r="M39" s="2" t="inlineStr">
        <is>
          <t>CV_Claudio_Silva.pdf</t>
        </is>
      </c>
      <c r="N39" s="2" t="inlineStr">
        <is>
          <t>DC_Analista_de_Control_de_Gestión.pdf</t>
        </is>
      </c>
      <c r="O39" s="4" t="inlineStr">
        <is>
          <t>Validar tolerancia a la presión y organización de tareas.</t>
        </is>
      </c>
      <c r="P39" s="3" t="inlineStr">
        <is>
          <t>2 referencias favorables</t>
        </is>
      </c>
      <c r="Q39" s="5" t="n">
        <v>45888</v>
      </c>
      <c r="R39" s="5" t="n">
        <v>45895</v>
      </c>
      <c r="S39" s="5" t="n">
        <v>45898</v>
      </c>
      <c r="T39" s="2">
        <f>NETWORKDAYS(R39,S39)-1</f>
        <v/>
      </c>
      <c r="U39" s="7" t="inlineStr">
        <is>
          <t>Recomendado</t>
        </is>
      </c>
    </row>
    <row r="40">
      <c r="A40" s="2" t="n">
        <v>39</v>
      </c>
      <c r="B40" s="2" t="inlineStr">
        <is>
          <t>agosto 25</t>
        </is>
      </c>
      <c r="C40" s="2" t="inlineStr">
        <is>
          <t>interna</t>
        </is>
      </c>
      <c r="D40" s="3" t="inlineStr">
        <is>
          <t>Fernanda Rojas</t>
        </is>
      </c>
      <c r="E40" s="3" t="inlineStr">
        <is>
          <t>Víctor Ruiz Mansilla</t>
        </is>
      </c>
      <c r="F40" s="2" t="inlineStr">
        <is>
          <t>Interno</t>
        </is>
      </c>
      <c r="G40" s="2" t="inlineStr">
        <is>
          <t>Técnico B C</t>
        </is>
      </c>
      <c r="H40" s="3" t="inlineStr">
        <is>
          <t>Monitor Producción</t>
        </is>
      </c>
      <c r="I40" s="2" t="inlineStr">
        <is>
          <t>Planta Magallanes</t>
        </is>
      </c>
      <c r="J40" s="2" t="inlineStr">
        <is>
          <t>Industrial</t>
        </is>
      </c>
      <c r="K40" s="2" t="inlineStr">
        <is>
          <t>No</t>
        </is>
      </c>
      <c r="L40" s="2" t="inlineStr">
        <is>
          <t>A170020706</t>
        </is>
      </c>
      <c r="M40" s="2" t="inlineStr"/>
      <c r="N40" s="2" t="inlineStr">
        <is>
          <t>DC_Monitor_Producción.pdf</t>
        </is>
      </c>
      <c r="O40" s="4" t="inlineStr">
        <is>
          <t>Énfasis en trabajo en equipo y rigurosidad.</t>
        </is>
      </c>
      <c r="P40" s="3" t="inlineStr"/>
      <c r="Q40" s="5" t="n">
        <v>45890</v>
      </c>
      <c r="R40" s="5" t="n">
        <v>45896</v>
      </c>
      <c r="S40" s="5" t="n">
        <v>45897</v>
      </c>
      <c r="T40" s="2">
        <f>NETWORKDAYS(R40,S40)-1</f>
        <v/>
      </c>
      <c r="U40" s="8" t="inlineStr">
        <is>
          <t>No recomendado</t>
        </is>
      </c>
    </row>
    <row r="41">
      <c r="A41" s="2" t="n">
        <v>40</v>
      </c>
      <c r="B41" s="2" t="inlineStr">
        <is>
          <t>agosto 25</t>
        </is>
      </c>
      <c r="C41" s="2" t="inlineStr">
        <is>
          <t>externa</t>
        </is>
      </c>
      <c r="D41" s="3" t="inlineStr">
        <is>
          <t>Carolina Muñoz</t>
        </is>
      </c>
      <c r="E41" s="3" t="inlineStr">
        <is>
          <t>Héctor Álvarez Barría</t>
        </is>
      </c>
      <c r="F41" s="2" t="inlineStr">
        <is>
          <t>Externo</t>
        </is>
      </c>
      <c r="G41" s="2" t="inlineStr">
        <is>
          <t>Técnico B C</t>
        </is>
      </c>
      <c r="H41" s="3" t="inlineStr">
        <is>
          <t>Asistente Bodega Planta</t>
        </is>
      </c>
      <c r="I41" s="2" t="inlineStr">
        <is>
          <t>Planta Cailin</t>
        </is>
      </c>
      <c r="J41" s="2" t="inlineStr">
        <is>
          <t>Industrial</t>
        </is>
      </c>
      <c r="K41" s="2" t="inlineStr">
        <is>
          <t>No</t>
        </is>
      </c>
      <c r="L41" s="2" t="inlineStr">
        <is>
          <t>A170021508</t>
        </is>
      </c>
      <c r="M41" s="2" t="inlineStr">
        <is>
          <t>CV_Héctor_Álvarez.pdf</t>
        </is>
      </c>
      <c r="N41" s="2" t="inlineStr">
        <is>
          <t>DC_Asistente_Bodega_Planta.pdf</t>
        </is>
      </c>
      <c r="O41" s="4" t="inlineStr">
        <is>
          <t>Validar atención al detalle y cumplimiento de protocolos.</t>
        </is>
      </c>
      <c r="P41" s="3" t="inlineStr"/>
      <c r="Q41" s="5" t="n">
        <v>45880</v>
      </c>
      <c r="R41" s="5" t="n">
        <v>45882</v>
      </c>
      <c r="S41" s="5" t="n">
        <v>45883</v>
      </c>
      <c r="T41" s="2">
        <f>NETWORKDAYS(R41,S41)-1</f>
        <v/>
      </c>
      <c r="U41" s="6" t="inlineStr">
        <is>
          <t>Recomendado con observaciones</t>
        </is>
      </c>
    </row>
    <row r="42">
      <c r="A42" s="2" t="n">
        <v>41</v>
      </c>
      <c r="B42" s="2" t="inlineStr">
        <is>
          <t>agosto 25</t>
        </is>
      </c>
      <c r="C42" s="2" t="inlineStr">
        <is>
          <t>externa</t>
        </is>
      </c>
      <c r="D42" s="3" t="inlineStr">
        <is>
          <t>Fernanda Rojas</t>
        </is>
      </c>
      <c r="E42" s="3" t="inlineStr">
        <is>
          <t>Catalina Vargas Flores</t>
        </is>
      </c>
      <c r="F42" s="2" t="inlineStr">
        <is>
          <t>Externo</t>
        </is>
      </c>
      <c r="G42" s="2" t="inlineStr">
        <is>
          <t>Técnico B C</t>
        </is>
      </c>
      <c r="H42" s="3" t="inlineStr">
        <is>
          <t>Asistente Bodega Planta</t>
        </is>
      </c>
      <c r="I42" s="2" t="inlineStr">
        <is>
          <t>Planta Cailin</t>
        </is>
      </c>
      <c r="J42" s="2" t="inlineStr">
        <is>
          <t>Industrial</t>
        </is>
      </c>
      <c r="K42" s="2" t="inlineStr">
        <is>
          <t>No</t>
        </is>
      </c>
      <c r="L42" s="2" t="inlineStr">
        <is>
          <t>A170021510</t>
        </is>
      </c>
      <c r="M42" s="2" t="inlineStr">
        <is>
          <t>CV_Catalina_Vargas.pdf</t>
        </is>
      </c>
      <c r="N42" s="2" t="inlineStr">
        <is>
          <t>DC_Asistente_Bodega_Planta.pdf</t>
        </is>
      </c>
      <c r="O42" s="4" t="inlineStr">
        <is>
          <t>Validar atención al detalle y cumplimiento de protocolos.</t>
        </is>
      </c>
      <c r="P42" s="3" t="inlineStr"/>
      <c r="Q42" s="5" t="n">
        <v>45890</v>
      </c>
      <c r="R42" s="5" t="n">
        <v>45896</v>
      </c>
      <c r="S42" s="5" t="n">
        <v>45897</v>
      </c>
      <c r="T42" s="2">
        <f>NETWORKDAYS(R42,S42)-1</f>
        <v/>
      </c>
      <c r="U42" s="7" t="inlineStr">
        <is>
          <t>Recomendado</t>
        </is>
      </c>
    </row>
    <row r="43">
      <c r="A43" s="2" t="n">
        <v>42</v>
      </c>
      <c r="B43" s="2" t="inlineStr">
        <is>
          <t>septiembre 25</t>
        </is>
      </c>
      <c r="C43" s="2" t="inlineStr">
        <is>
          <t>externa</t>
        </is>
      </c>
      <c r="D43" s="3" t="inlineStr">
        <is>
          <t>Macarena Vidal</t>
        </is>
      </c>
      <c r="E43" s="3" t="inlineStr">
        <is>
          <t>Manuel Fuentes Navarro</t>
        </is>
      </c>
      <c r="F43" s="2" t="inlineStr">
        <is>
          <t>Externo</t>
        </is>
      </c>
      <c r="G43" s="2" t="inlineStr">
        <is>
          <t>Profesional A</t>
        </is>
      </c>
      <c r="H43" s="3" t="inlineStr">
        <is>
          <t>Líder Desarrollo Producción</t>
        </is>
      </c>
      <c r="I43" s="2" t="inlineStr">
        <is>
          <t>Oficina Central</t>
        </is>
      </c>
      <c r="J43" s="2" t="inlineStr">
        <is>
          <t>Corporativo</t>
        </is>
      </c>
      <c r="K43" s="2" t="inlineStr">
        <is>
          <t>Sí</t>
        </is>
      </c>
      <c r="L43" s="2" t="inlineStr">
        <is>
          <t>A170010311</t>
        </is>
      </c>
      <c r="M43" s="2" t="inlineStr">
        <is>
          <t>CV_Manuel_Fuentes.pdf</t>
        </is>
      </c>
      <c r="N43" s="2" t="inlineStr">
        <is>
          <t>DC_Líder_Desarrollo_Producción.pdf</t>
        </is>
      </c>
      <c r="O43" s="4" t="inlineStr">
        <is>
          <t>Indagar en liderazgo de equipos y gestión del cambio. Proceso confidencial para el candidato.</t>
        </is>
      </c>
      <c r="P43" s="3" t="inlineStr">
        <is>
          <t>1 referencia con observaciones</t>
        </is>
      </c>
      <c r="Q43" s="5" t="n">
        <v>45908</v>
      </c>
      <c r="R43" s="5" t="n">
        <v>45912</v>
      </c>
      <c r="S43" s="5" t="n">
        <v>45915</v>
      </c>
      <c r="T43" s="2">
        <f>NETWORKDAYS(R43,S43)-1</f>
        <v/>
      </c>
      <c r="U43" s="7" t="inlineStr">
        <is>
          <t>Recomendado</t>
        </is>
      </c>
    </row>
    <row r="44">
      <c r="A44" s="2" t="n">
        <v>43</v>
      </c>
      <c r="B44" s="2" t="inlineStr">
        <is>
          <t>septiembre 25</t>
        </is>
      </c>
      <c r="C44" s="2" t="inlineStr">
        <is>
          <t>interna</t>
        </is>
      </c>
      <c r="D44" s="3" t="inlineStr">
        <is>
          <t>Macarena Vidal</t>
        </is>
      </c>
      <c r="E44" s="3" t="inlineStr">
        <is>
          <t>Felipe Uribe Vargas</t>
        </is>
      </c>
      <c r="F44" s="2" t="inlineStr">
        <is>
          <t>Interno</t>
        </is>
      </c>
      <c r="G44" s="2" t="inlineStr">
        <is>
          <t>Profesional B C</t>
        </is>
      </c>
      <c r="H44" s="3" t="inlineStr">
        <is>
          <t>Coordinador Servicios Generales</t>
        </is>
      </c>
      <c r="I44" s="2" t="inlineStr">
        <is>
          <t>Planta Magallanes</t>
        </is>
      </c>
      <c r="J44" s="2" t="inlineStr">
        <is>
          <t>Industrial</t>
        </is>
      </c>
      <c r="K44" s="2" t="inlineStr">
        <is>
          <t>No</t>
        </is>
      </c>
      <c r="L44" s="2" t="inlineStr"/>
      <c r="M44" s="2" t="inlineStr"/>
      <c r="N44" s="2" t="inlineStr">
        <is>
          <t>DC_Coordinador_Servicios_Generales.pdf</t>
        </is>
      </c>
      <c r="O44" s="4" t="inlineStr">
        <is>
          <t>Indagar en capacidad analítica y manejo de herramientas digitales.</t>
        </is>
      </c>
      <c r="P44" s="3" t="inlineStr"/>
      <c r="Q44" s="5" t="n">
        <v>45916</v>
      </c>
      <c r="R44" s="5" t="n">
        <v>45922</v>
      </c>
      <c r="S44" s="5" t="n">
        <v>45924</v>
      </c>
      <c r="T44" s="2">
        <f>NETWORKDAYS(R44,S44)-1</f>
        <v/>
      </c>
      <c r="U44" s="7" t="inlineStr">
        <is>
          <t>Recomendado</t>
        </is>
      </c>
    </row>
    <row r="45">
      <c r="A45" s="2" t="n">
        <v>44</v>
      </c>
      <c r="B45" s="2" t="inlineStr">
        <is>
          <t>septiembre 25</t>
        </is>
      </c>
      <c r="C45" s="2" t="inlineStr">
        <is>
          <t>interna</t>
        </is>
      </c>
      <c r="D45" s="3" t="inlineStr">
        <is>
          <t>Macarena Vidal</t>
        </is>
      </c>
      <c r="E45" s="3" t="inlineStr">
        <is>
          <t>Pedro Cárcamo Martínez</t>
        </is>
      </c>
      <c r="F45" s="2" t="inlineStr">
        <is>
          <t>Interno</t>
        </is>
      </c>
      <c r="G45" s="2" t="inlineStr">
        <is>
          <t>Técnico B C</t>
        </is>
      </c>
      <c r="H45" s="3" t="inlineStr">
        <is>
          <t>Asistente Bodega Planta</t>
        </is>
      </c>
      <c r="I45" s="2" t="inlineStr">
        <is>
          <t>Planta Cailin</t>
        </is>
      </c>
      <c r="J45" s="2" t="inlineStr">
        <is>
          <t>Industrial</t>
        </is>
      </c>
      <c r="K45" s="2" t="inlineStr">
        <is>
          <t>No</t>
        </is>
      </c>
      <c r="L45" s="2" t="inlineStr">
        <is>
          <t>A170021506</t>
        </is>
      </c>
      <c r="M45" s="2" t="inlineStr"/>
      <c r="N45" s="2" t="inlineStr">
        <is>
          <t>DC_Asistente_Bodega_Planta.pdf</t>
        </is>
      </c>
      <c r="O45" s="4" t="inlineStr">
        <is>
          <t>Validar atención al detalle y cumplimiento de protocolos.</t>
        </is>
      </c>
      <c r="P45" s="3" t="inlineStr"/>
      <c r="Q45" s="5" t="n">
        <v>45909</v>
      </c>
      <c r="R45" s="5" t="n">
        <v>45916</v>
      </c>
      <c r="S45" s="5" t="n">
        <v>45918</v>
      </c>
      <c r="T45" s="2">
        <f>NETWORKDAYS(R45,S45)-1</f>
        <v/>
      </c>
      <c r="U45" s="7" t="inlineStr">
        <is>
          <t>Recomendado</t>
        </is>
      </c>
    </row>
    <row r="46">
      <c r="A46" s="2" t="n">
        <v>45</v>
      </c>
      <c r="B46" s="2" t="inlineStr">
        <is>
          <t>septiembre 25</t>
        </is>
      </c>
      <c r="C46" s="2" t="inlineStr">
        <is>
          <t>externa</t>
        </is>
      </c>
      <c r="D46" s="3" t="inlineStr">
        <is>
          <t>Macarena Vidal</t>
        </is>
      </c>
      <c r="E46" s="3" t="inlineStr">
        <is>
          <t>Lorena Pérez Vargas</t>
        </is>
      </c>
      <c r="F46" s="2" t="inlineStr">
        <is>
          <t>Externo</t>
        </is>
      </c>
      <c r="G46" s="2" t="inlineStr">
        <is>
          <t>Técnico A</t>
        </is>
      </c>
      <c r="H46" s="3" t="inlineStr">
        <is>
          <t>Técnico Mantención Senior</t>
        </is>
      </c>
      <c r="I46" s="2" t="inlineStr">
        <is>
          <t>AM Chonchi</t>
        </is>
      </c>
      <c r="J46" s="2" t="inlineStr">
        <is>
          <t>Producción AM</t>
        </is>
      </c>
      <c r="K46" s="2" t="inlineStr">
        <is>
          <t>No</t>
        </is>
      </c>
      <c r="L46" s="2" t="inlineStr">
        <is>
          <t>A170040511</t>
        </is>
      </c>
      <c r="M46" s="2" t="inlineStr">
        <is>
          <t>CV_Lorena_Pérez.pdf</t>
        </is>
      </c>
      <c r="N46" s="2" t="inlineStr">
        <is>
          <t>DC_Técnico_Mantención_Senior.pdf</t>
        </is>
      </c>
      <c r="O46" s="4" t="inlineStr">
        <is>
          <t>Énfasis en disposición a sistema de turnos 7x7 en centro remoto.</t>
        </is>
      </c>
      <c r="P46" s="3" t="inlineStr"/>
      <c r="Q46" s="5" t="n">
        <v>45918</v>
      </c>
      <c r="R46" s="5" t="n">
        <v>45924</v>
      </c>
      <c r="S46" s="5" t="n">
        <v>45926</v>
      </c>
      <c r="T46" s="2">
        <f>NETWORKDAYS(R46,S46)-1</f>
        <v/>
      </c>
      <c r="U46" s="7" t="inlineStr">
        <is>
          <t>Recomendado</t>
        </is>
      </c>
    </row>
    <row r="47">
      <c r="A47" s="2" t="n">
        <v>46</v>
      </c>
      <c r="B47" s="2" t="inlineStr">
        <is>
          <t>septiembre 25</t>
        </is>
      </c>
      <c r="C47" s="2" t="inlineStr">
        <is>
          <t>interna</t>
        </is>
      </c>
      <c r="D47" s="3" t="inlineStr">
        <is>
          <t>Carolina Muñoz</t>
        </is>
      </c>
      <c r="E47" s="3" t="inlineStr">
        <is>
          <t>Valentina Uribe Rodríguez</t>
        </is>
      </c>
      <c r="F47" s="2" t="inlineStr">
        <is>
          <t>Interno</t>
        </is>
      </c>
      <c r="G47" s="2" t="inlineStr">
        <is>
          <t>Supervisor B</t>
        </is>
      </c>
      <c r="H47" s="3" t="inlineStr">
        <is>
          <t>Supervisor Centro de Cultivo</t>
        </is>
      </c>
      <c r="I47" s="2" t="inlineStr">
        <is>
          <t>AM Chonchi</t>
        </is>
      </c>
      <c r="J47" s="2" t="inlineStr">
        <is>
          <t>Producción AM</t>
        </is>
      </c>
      <c r="K47" s="2" t="inlineStr">
        <is>
          <t>No</t>
        </is>
      </c>
      <c r="L47" s="2" t="inlineStr"/>
      <c r="M47" s="2" t="inlineStr"/>
      <c r="N47" s="2" t="inlineStr">
        <is>
          <t>DC_Supervisor_Centro_de_Cultivo.pdf</t>
        </is>
      </c>
      <c r="O47" s="4" t="inlineStr">
        <is>
          <t>Indagar en liderazgo de equipos operativos y manejo de conflictos.</t>
        </is>
      </c>
      <c r="P47" s="3" t="inlineStr"/>
      <c r="Q47" s="5" t="n">
        <v>45917</v>
      </c>
      <c r="R47" s="5" t="n">
        <v>45925</v>
      </c>
      <c r="S47" s="5" t="n">
        <v>45931</v>
      </c>
      <c r="T47" s="2">
        <f>NETWORKDAYS(R47,S47)-1</f>
        <v/>
      </c>
      <c r="U47" s="7" t="inlineStr">
        <is>
          <t>Recomendado</t>
        </is>
      </c>
    </row>
    <row r="48">
      <c r="A48" s="2" t="n">
        <v>47</v>
      </c>
      <c r="B48" s="2" t="inlineStr">
        <is>
          <t>septiembre 25</t>
        </is>
      </c>
      <c r="C48" s="2" t="inlineStr">
        <is>
          <t>externa</t>
        </is>
      </c>
      <c r="D48" s="3" t="inlineStr">
        <is>
          <t>Fernanda Rojas</t>
        </is>
      </c>
      <c r="E48" s="3" t="inlineStr">
        <is>
          <t>Patricio Martínez Vargas</t>
        </is>
      </c>
      <c r="F48" s="2" t="inlineStr">
        <is>
          <t>Externo</t>
        </is>
      </c>
      <c r="G48" s="2" t="inlineStr">
        <is>
          <t>Profesional A</t>
        </is>
      </c>
      <c r="H48" s="3" t="inlineStr">
        <is>
          <t>Líder Desarrollo Producción</t>
        </is>
      </c>
      <c r="I48" s="2" t="inlineStr">
        <is>
          <t>Oficina Central</t>
        </is>
      </c>
      <c r="J48" s="2" t="inlineStr">
        <is>
          <t>Corporativo</t>
        </is>
      </c>
      <c r="K48" s="2" t="inlineStr">
        <is>
          <t>Sí</t>
        </is>
      </c>
      <c r="L48" s="2" t="inlineStr">
        <is>
          <t>A170010304</t>
        </is>
      </c>
      <c r="M48" s="2" t="inlineStr">
        <is>
          <t>CV_Patricio_Martínez.pdf</t>
        </is>
      </c>
      <c r="N48" s="2" t="inlineStr">
        <is>
          <t>DC_Líder_Desarrollo_Producción.pdf</t>
        </is>
      </c>
      <c r="O48" s="4" t="inlineStr">
        <is>
          <t>Énfasis en visión estratégica y relacionamiento con gerencias.</t>
        </is>
      </c>
      <c r="P48" s="3" t="inlineStr">
        <is>
          <t>Referencias favorables</t>
        </is>
      </c>
      <c r="Q48" s="5" t="n">
        <v>45926</v>
      </c>
      <c r="R48" s="5" t="n">
        <v>45932</v>
      </c>
      <c r="S48" s="5" t="n">
        <v>45938</v>
      </c>
      <c r="T48" s="2">
        <f>NETWORKDAYS(R48,S48)-1</f>
        <v/>
      </c>
      <c r="U48" s="8" t="inlineStr">
        <is>
          <t>No recomendado</t>
        </is>
      </c>
    </row>
    <row r="49">
      <c r="A49" s="2" t="n">
        <v>48</v>
      </c>
      <c r="B49" s="2" t="inlineStr">
        <is>
          <t>septiembre 25</t>
        </is>
      </c>
      <c r="C49" s="2" t="inlineStr">
        <is>
          <t>interna</t>
        </is>
      </c>
      <c r="D49" s="3" t="inlineStr">
        <is>
          <t>Macarena Vidal</t>
        </is>
      </c>
      <c r="E49" s="3" t="inlineStr">
        <is>
          <t>Matías Sepúlveda Navarro</t>
        </is>
      </c>
      <c r="F49" s="2" t="inlineStr">
        <is>
          <t>Interno</t>
        </is>
      </c>
      <c r="G49" s="2" t="inlineStr">
        <is>
          <t>Técnico B C</t>
        </is>
      </c>
      <c r="H49" s="3" t="inlineStr">
        <is>
          <t>Técnico Laboratorio</t>
        </is>
      </c>
      <c r="I49" s="2" t="inlineStr">
        <is>
          <t>Piscicultura Rupanco</t>
        </is>
      </c>
      <c r="J49" s="2" t="inlineStr">
        <is>
          <t>Producción AD</t>
        </is>
      </c>
      <c r="K49" s="2" t="inlineStr">
        <is>
          <t>No</t>
        </is>
      </c>
      <c r="L49" s="2" t="inlineStr"/>
      <c r="M49" s="2" t="inlineStr"/>
      <c r="N49" s="2" t="inlineStr">
        <is>
          <t>DC_Técnico_Laboratorio.pdf</t>
        </is>
      </c>
      <c r="O49" s="4" t="inlineStr">
        <is>
          <t>Énfasis en trabajo en equipo y rigurosidad.</t>
        </is>
      </c>
      <c r="P49" s="3" t="inlineStr"/>
      <c r="Q49" s="5" t="n">
        <v>45905</v>
      </c>
      <c r="R49" s="5" t="n">
        <v>45910</v>
      </c>
      <c r="S49" s="5" t="n">
        <v>45912</v>
      </c>
      <c r="T49" s="2">
        <f>NETWORKDAYS(R49,S49)-1</f>
        <v/>
      </c>
      <c r="U49" s="6" t="inlineStr">
        <is>
          <t>Recomendado con observaciones</t>
        </is>
      </c>
    </row>
    <row r="50">
      <c r="A50" s="2" t="n">
        <v>49</v>
      </c>
      <c r="B50" s="2" t="inlineStr">
        <is>
          <t>septiembre 25</t>
        </is>
      </c>
      <c r="C50" s="2" t="inlineStr">
        <is>
          <t>interna</t>
        </is>
      </c>
      <c r="D50" s="3" t="inlineStr">
        <is>
          <t>Fernanda Rojas</t>
        </is>
      </c>
      <c r="E50" s="3" t="inlineStr">
        <is>
          <t>Felipe Martínez Flores</t>
        </is>
      </c>
      <c r="F50" s="2" t="inlineStr">
        <is>
          <t>Interno</t>
        </is>
      </c>
      <c r="G50" s="2" t="inlineStr">
        <is>
          <t>Profesional A</t>
        </is>
      </c>
      <c r="H50" s="3" t="inlineStr">
        <is>
          <t>Jefe de Proyectos TI</t>
        </is>
      </c>
      <c r="I50" s="2" t="inlineStr">
        <is>
          <t>Oficina Central</t>
        </is>
      </c>
      <c r="J50" s="2" t="inlineStr">
        <is>
          <t>Corporativo</t>
        </is>
      </c>
      <c r="K50" s="2" t="inlineStr">
        <is>
          <t>No</t>
        </is>
      </c>
      <c r="L50" s="2" t="inlineStr"/>
      <c r="M50" s="2" t="inlineStr"/>
      <c r="N50" s="2" t="inlineStr">
        <is>
          <t>DC_Jefe_de_Proyectos_TI.pdf</t>
        </is>
      </c>
      <c r="O50" s="4" t="inlineStr">
        <is>
          <t>Indagar en liderazgo de equipos y gestión del cambio. Proceso confidencial para el candidato.</t>
        </is>
      </c>
      <c r="P50" s="3" t="inlineStr"/>
      <c r="Q50" s="5" t="n">
        <v>45923</v>
      </c>
      <c r="R50" s="5" t="n">
        <v>45929</v>
      </c>
      <c r="S50" s="5" t="n">
        <v>45931</v>
      </c>
      <c r="T50" s="2">
        <f>NETWORKDAYS(R50,S50)-1</f>
        <v/>
      </c>
      <c r="U50" s="7" t="inlineStr">
        <is>
          <t>Recomendado</t>
        </is>
      </c>
    </row>
    <row r="51">
      <c r="A51" s="2" t="n">
        <v>50</v>
      </c>
      <c r="B51" s="2" t="inlineStr">
        <is>
          <t>septiembre 25</t>
        </is>
      </c>
      <c r="C51" s="2" t="inlineStr">
        <is>
          <t>externa</t>
        </is>
      </c>
      <c r="D51" s="3" t="inlineStr">
        <is>
          <t>Daniela Contreras</t>
        </is>
      </c>
      <c r="E51" s="3" t="inlineStr">
        <is>
          <t>Víctor Ruiz Muñoz</t>
        </is>
      </c>
      <c r="F51" s="2" t="inlineStr">
        <is>
          <t>Externo</t>
        </is>
      </c>
      <c r="G51" s="2" t="inlineStr">
        <is>
          <t>Profesional B C</t>
        </is>
      </c>
      <c r="H51" s="3" t="inlineStr">
        <is>
          <t>Prevencionista de Riesgos</t>
        </is>
      </c>
      <c r="I51" s="2" t="inlineStr">
        <is>
          <t>AM Melinka</t>
        </is>
      </c>
      <c r="J51" s="2" t="inlineStr">
        <is>
          <t>Producción AM</t>
        </is>
      </c>
      <c r="K51" s="2" t="inlineStr">
        <is>
          <t>Sí</t>
        </is>
      </c>
      <c r="L51" s="2" t="inlineStr">
        <is>
          <t>A170040205</t>
        </is>
      </c>
      <c r="M51" s="2" t="inlineStr">
        <is>
          <t>CV_Víctor_Ruiz.pdf</t>
        </is>
      </c>
      <c r="N51" s="2" t="inlineStr">
        <is>
          <t>DC_Prevencionista_de_Riesgos.pdf</t>
        </is>
      </c>
      <c r="O51" s="4" t="inlineStr">
        <is>
          <t>Validar tolerancia a la presión y organización de tareas.</t>
        </is>
      </c>
      <c r="P51" s="3" t="inlineStr">
        <is>
          <t>2 referencias favorables</t>
        </is>
      </c>
      <c r="Q51" s="5" t="n">
        <v>45908</v>
      </c>
      <c r="R51" s="5" t="n">
        <v>45916</v>
      </c>
      <c r="S51" s="5" t="n">
        <v>45918</v>
      </c>
      <c r="T51" s="2">
        <f>NETWORKDAYS(R51,S51)-1</f>
        <v/>
      </c>
      <c r="U51" s="8" t="inlineStr">
        <is>
          <t>No recomendado</t>
        </is>
      </c>
    </row>
    <row r="52">
      <c r="A52" s="2" t="n">
        <v>51</v>
      </c>
      <c r="B52" s="2" t="inlineStr">
        <is>
          <t>octubre 25</t>
        </is>
      </c>
      <c r="C52" s="2" t="inlineStr">
        <is>
          <t>interna</t>
        </is>
      </c>
      <c r="D52" s="3" t="inlineStr">
        <is>
          <t>Fernanda Rojas</t>
        </is>
      </c>
      <c r="E52" s="3" t="inlineStr">
        <is>
          <t>Camila Barría González</t>
        </is>
      </c>
      <c r="F52" s="2" t="inlineStr">
        <is>
          <t>Interno</t>
        </is>
      </c>
      <c r="G52" s="2" t="inlineStr">
        <is>
          <t>Técnico A</t>
        </is>
      </c>
      <c r="H52" s="3" t="inlineStr">
        <is>
          <t>Técnico Eléctrico</t>
        </is>
      </c>
      <c r="I52" s="2" t="inlineStr">
        <is>
          <t>Planta Magallanes</t>
        </is>
      </c>
      <c r="J52" s="2" t="inlineStr">
        <is>
          <t>Industrial</t>
        </is>
      </c>
      <c r="K52" s="2" t="inlineStr">
        <is>
          <t>No</t>
        </is>
      </c>
      <c r="L52" s="2" t="inlineStr">
        <is>
          <t>A170020706</t>
        </is>
      </c>
      <c r="M52" s="2" t="inlineStr"/>
      <c r="N52" s="2" t="inlineStr">
        <is>
          <t>DC_Técnico_Eléctrico.pdf</t>
        </is>
      </c>
      <c r="O52" s="4" t="inlineStr">
        <is>
          <t>Indagar en resolución de problemas técnicos y autonomía.</t>
        </is>
      </c>
      <c r="P52" s="3" t="inlineStr"/>
      <c r="Q52" s="5" t="n">
        <v>45950</v>
      </c>
      <c r="R52" s="5" t="n">
        <v>45954</v>
      </c>
      <c r="S52" s="5" t="n">
        <v>45958</v>
      </c>
      <c r="T52" s="2">
        <f>NETWORKDAYS(R52,S52)-1</f>
        <v/>
      </c>
      <c r="U52" s="6" t="inlineStr">
        <is>
          <t>Recomendado con observaciones</t>
        </is>
      </c>
    </row>
    <row r="53">
      <c r="A53" s="2" t="n">
        <v>52</v>
      </c>
      <c r="B53" s="2" t="inlineStr">
        <is>
          <t>octubre 25</t>
        </is>
      </c>
      <c r="C53" s="2" t="inlineStr">
        <is>
          <t>interna</t>
        </is>
      </c>
      <c r="D53" s="3" t="inlineStr">
        <is>
          <t>Daniela Contreras</t>
        </is>
      </c>
      <c r="E53" s="3" t="inlineStr">
        <is>
          <t>Claudia Torres Hernández</t>
        </is>
      </c>
      <c r="F53" s="2" t="inlineStr">
        <is>
          <t>Interno</t>
        </is>
      </c>
      <c r="G53" s="2" t="inlineStr">
        <is>
          <t>Profesional B C</t>
        </is>
      </c>
      <c r="H53" s="3" t="inlineStr">
        <is>
          <t>Analista de Sistemas</t>
        </is>
      </c>
      <c r="I53" s="2" t="inlineStr">
        <is>
          <t>Oficina Central</t>
        </is>
      </c>
      <c r="J53" s="2" t="inlineStr">
        <is>
          <t>Corporativo</t>
        </is>
      </c>
      <c r="K53" s="2" t="inlineStr">
        <is>
          <t>No</t>
        </is>
      </c>
      <c r="L53" s="2" t="inlineStr"/>
      <c r="M53" s="2" t="inlineStr"/>
      <c r="N53" s="2" t="inlineStr">
        <is>
          <t>DC_Analista_de_Sistemas.pdf</t>
        </is>
      </c>
      <c r="O53" s="4" t="inlineStr">
        <is>
          <t>Validar tolerancia a la presión y organización de tareas.</t>
        </is>
      </c>
      <c r="P53" s="3" t="inlineStr"/>
      <c r="Q53" s="5" t="n">
        <v>45946</v>
      </c>
      <c r="R53" s="5" t="n">
        <v>45951</v>
      </c>
      <c r="S53" s="5" t="n">
        <v>45953</v>
      </c>
      <c r="T53" s="2">
        <f>NETWORKDAYS(R53,S53)-1</f>
        <v/>
      </c>
      <c r="U53" s="7" t="inlineStr">
        <is>
          <t>Recomendado</t>
        </is>
      </c>
    </row>
    <row r="54">
      <c r="A54" s="2" t="n">
        <v>53</v>
      </c>
      <c r="B54" s="2" t="inlineStr">
        <is>
          <t>octubre 25</t>
        </is>
      </c>
      <c r="C54" s="2" t="inlineStr">
        <is>
          <t>interna</t>
        </is>
      </c>
      <c r="D54" s="3" t="inlineStr">
        <is>
          <t>Carolina Muñoz</t>
        </is>
      </c>
      <c r="E54" s="3" t="inlineStr">
        <is>
          <t>Diego Sánchez Uribe</t>
        </is>
      </c>
      <c r="F54" s="2" t="inlineStr">
        <is>
          <t>Interno</t>
        </is>
      </c>
      <c r="G54" s="2" t="inlineStr">
        <is>
          <t>Técnico A</t>
        </is>
      </c>
      <c r="H54" s="3" t="inlineStr">
        <is>
          <t>Técnico Eléctrico</t>
        </is>
      </c>
      <c r="I54" s="2" t="inlineStr">
        <is>
          <t>Pargua PA</t>
        </is>
      </c>
      <c r="J54" s="2" t="inlineStr">
        <is>
          <t>Otros Producción</t>
        </is>
      </c>
      <c r="K54" s="2" t="inlineStr">
        <is>
          <t>No</t>
        </is>
      </c>
      <c r="L54" s="2" t="inlineStr"/>
      <c r="M54" s="2" t="inlineStr"/>
      <c r="N54" s="2" t="inlineStr">
        <is>
          <t>DC_Técnico_Eléctrico.pdf</t>
        </is>
      </c>
      <c r="O54" s="4" t="inlineStr">
        <is>
          <t>Énfasis en disposición a sistema de turnos 7x7 en centro remoto.</t>
        </is>
      </c>
      <c r="P54" s="3" t="inlineStr"/>
      <c r="Q54" s="5" t="n">
        <v>45933</v>
      </c>
      <c r="R54" s="5" t="n">
        <v>45938</v>
      </c>
      <c r="S54" s="5" t="n">
        <v>45943</v>
      </c>
      <c r="T54" s="2">
        <f>NETWORKDAYS(R54,S54)-1</f>
        <v/>
      </c>
      <c r="U54" s="7" t="inlineStr">
        <is>
          <t>Recomendado</t>
        </is>
      </c>
    </row>
    <row r="55">
      <c r="A55" s="2" t="n">
        <v>54</v>
      </c>
      <c r="B55" s="2" t="inlineStr">
        <is>
          <t>octubre 25</t>
        </is>
      </c>
      <c r="C55" s="2" t="inlineStr">
        <is>
          <t>externa</t>
        </is>
      </c>
      <c r="D55" s="3" t="inlineStr">
        <is>
          <t>Javiera Soto</t>
        </is>
      </c>
      <c r="E55" s="3" t="inlineStr">
        <is>
          <t>Lorena López Vásquez</t>
        </is>
      </c>
      <c r="F55" s="2" t="inlineStr">
        <is>
          <t>Externo</t>
        </is>
      </c>
      <c r="G55" s="2" t="inlineStr">
        <is>
          <t>Jefatura</t>
        </is>
      </c>
      <c r="H55" s="3" t="inlineStr">
        <is>
          <t>Jefe de Turno</t>
        </is>
      </c>
      <c r="I55" s="2" t="inlineStr">
        <is>
          <t>Planta Magallanes</t>
        </is>
      </c>
      <c r="J55" s="2" t="inlineStr">
        <is>
          <t>Industrial</t>
        </is>
      </c>
      <c r="K55" s="2" t="inlineStr">
        <is>
          <t>Sí</t>
        </is>
      </c>
      <c r="L55" s="2" t="inlineStr">
        <is>
          <t>A170020701</t>
        </is>
      </c>
      <c r="M55" s="2" t="inlineStr">
        <is>
          <t>CV_Lorena_López.pdf</t>
        </is>
      </c>
      <c r="N55" s="2" t="inlineStr">
        <is>
          <t>DC_Jefe_de_Turno.pdf</t>
        </is>
      </c>
      <c r="O55" s="4" t="inlineStr">
        <is>
          <t>Énfasis en competencias de gestión y cultura de seguridad.</t>
        </is>
      </c>
      <c r="P55" s="3" t="inlineStr">
        <is>
          <t>1 referencia con observaciones</t>
        </is>
      </c>
      <c r="Q55" s="5" t="n">
        <v>45950</v>
      </c>
      <c r="R55" s="5" t="n">
        <v>45953</v>
      </c>
      <c r="S55" s="5" t="n">
        <v>45958</v>
      </c>
      <c r="T55" s="2">
        <f>NETWORKDAYS(R55,S55)-1</f>
        <v/>
      </c>
      <c r="U55" s="8" t="inlineStr">
        <is>
          <t>No recomendado</t>
        </is>
      </c>
    </row>
    <row r="56">
      <c r="A56" s="2" t="n">
        <v>55</v>
      </c>
      <c r="B56" s="2" t="inlineStr">
        <is>
          <t>octubre 25</t>
        </is>
      </c>
      <c r="C56" s="2" t="inlineStr">
        <is>
          <t>externa</t>
        </is>
      </c>
      <c r="D56" s="3" t="inlineStr">
        <is>
          <t>Javiera Soto</t>
        </is>
      </c>
      <c r="E56" s="3" t="inlineStr">
        <is>
          <t>Rodrigo Reyes Cárcamo</t>
        </is>
      </c>
      <c r="F56" s="2" t="inlineStr">
        <is>
          <t>Externo</t>
        </is>
      </c>
      <c r="G56" s="2" t="inlineStr">
        <is>
          <t>Técnico B C</t>
        </is>
      </c>
      <c r="H56" s="3" t="inlineStr">
        <is>
          <t>Técnico Laboratorio</t>
        </is>
      </c>
      <c r="I56" s="2" t="inlineStr">
        <is>
          <t>Piscicultura Rupanco</t>
        </is>
      </c>
      <c r="J56" s="2" t="inlineStr">
        <is>
          <t>Producción AD</t>
        </is>
      </c>
      <c r="K56" s="2" t="inlineStr">
        <is>
          <t>No</t>
        </is>
      </c>
      <c r="L56" s="2" t="inlineStr">
        <is>
          <t>A170050603</t>
        </is>
      </c>
      <c r="M56" s="2" t="inlineStr">
        <is>
          <t>CV_Rodrigo_Reyes.pdf</t>
        </is>
      </c>
      <c r="N56" s="2" t="inlineStr">
        <is>
          <t>DC_Técnico_Laboratorio.pdf</t>
        </is>
      </c>
      <c r="O56" s="4" t="inlineStr">
        <is>
          <t>Indagar en disposición a turnos rotativos.</t>
        </is>
      </c>
      <c r="P56" s="3" t="inlineStr"/>
      <c r="Q56" s="5" t="n">
        <v>45936</v>
      </c>
      <c r="R56" s="5" t="n">
        <v>45939</v>
      </c>
      <c r="S56" s="5" t="n">
        <v>45944</v>
      </c>
      <c r="T56" s="2">
        <f>NETWORKDAYS(R56,S56)-1</f>
        <v/>
      </c>
      <c r="U56" s="7" t="inlineStr">
        <is>
          <t>Recomendado</t>
        </is>
      </c>
    </row>
    <row r="57">
      <c r="A57" s="2" t="n">
        <v>56</v>
      </c>
      <c r="B57" s="2" t="inlineStr">
        <is>
          <t>octubre 25</t>
        </is>
      </c>
      <c r="C57" s="2" t="inlineStr">
        <is>
          <t>interna</t>
        </is>
      </c>
      <c r="D57" s="3" t="inlineStr">
        <is>
          <t>Macarena Vidal</t>
        </is>
      </c>
      <c r="E57" s="3" t="inlineStr">
        <is>
          <t>Sebastián Araya Soto</t>
        </is>
      </c>
      <c r="F57" s="2" t="inlineStr">
        <is>
          <t>Interno</t>
        </is>
      </c>
      <c r="G57" s="2" t="inlineStr">
        <is>
          <t>Técnico A</t>
        </is>
      </c>
      <c r="H57" s="3" t="inlineStr">
        <is>
          <t>Técnico Mantención Senior</t>
        </is>
      </c>
      <c r="I57" s="2" t="inlineStr">
        <is>
          <t>AM Melinka</t>
        </is>
      </c>
      <c r="J57" s="2" t="inlineStr">
        <is>
          <t>Producción AM</t>
        </is>
      </c>
      <c r="K57" s="2" t="inlineStr">
        <is>
          <t>No</t>
        </is>
      </c>
      <c r="L57" s="2" t="inlineStr"/>
      <c r="M57" s="2" t="inlineStr"/>
      <c r="N57" s="2" t="inlineStr">
        <is>
          <t>DC_Técnico_Mantención_Senior.pdf</t>
        </is>
      </c>
      <c r="O57" s="4" t="inlineStr">
        <is>
          <t>Indagar en resolución de problemas técnicos y autonomía.</t>
        </is>
      </c>
      <c r="P57" s="3" t="inlineStr"/>
      <c r="Q57" s="5" t="n">
        <v>45943</v>
      </c>
      <c r="R57" s="5" t="n">
        <v>45951</v>
      </c>
      <c r="S57" s="5" t="n">
        <v>45957</v>
      </c>
      <c r="T57" s="2">
        <f>NETWORKDAYS(R57,S57)-1</f>
        <v/>
      </c>
      <c r="U57" s="6" t="inlineStr">
        <is>
          <t>Recomendado con observaciones</t>
        </is>
      </c>
    </row>
    <row r="58">
      <c r="A58" s="2" t="n">
        <v>57</v>
      </c>
      <c r="B58" s="2" t="inlineStr">
        <is>
          <t>octubre 25</t>
        </is>
      </c>
      <c r="C58" s="2" t="inlineStr">
        <is>
          <t>externa</t>
        </is>
      </c>
      <c r="D58" s="3" t="inlineStr">
        <is>
          <t>Macarena Vidal</t>
        </is>
      </c>
      <c r="E58" s="3" t="inlineStr">
        <is>
          <t>Luis Mansilla Sánchez</t>
        </is>
      </c>
      <c r="F58" s="2" t="inlineStr">
        <is>
          <t>Externo</t>
        </is>
      </c>
      <c r="G58" s="2" t="inlineStr">
        <is>
          <t>Técnico B C</t>
        </is>
      </c>
      <c r="H58" s="3" t="inlineStr">
        <is>
          <t>Asistente Bodega Planta</t>
        </is>
      </c>
      <c r="I58" s="2" t="inlineStr">
        <is>
          <t>Planta Cailin</t>
        </is>
      </c>
      <c r="J58" s="2" t="inlineStr">
        <is>
          <t>Industrial</t>
        </is>
      </c>
      <c r="K58" s="2" t="inlineStr">
        <is>
          <t>No</t>
        </is>
      </c>
      <c r="L58" s="2" t="inlineStr">
        <is>
          <t>A170021510</t>
        </is>
      </c>
      <c r="M58" s="2" t="inlineStr">
        <is>
          <t>CV_Luis_Mansilla.pdf</t>
        </is>
      </c>
      <c r="N58" s="2" t="inlineStr">
        <is>
          <t>DC_Asistente_Bodega_Planta.pdf</t>
        </is>
      </c>
      <c r="O58" s="4" t="inlineStr">
        <is>
          <t>Indagar en disposición a turnos rotativos.</t>
        </is>
      </c>
      <c r="P58" s="3" t="inlineStr"/>
      <c r="Q58" s="5" t="n">
        <v>45936</v>
      </c>
      <c r="R58" s="5" t="n">
        <v>45943</v>
      </c>
      <c r="S58" s="5" t="n">
        <v>45947</v>
      </c>
      <c r="T58" s="2">
        <f>NETWORKDAYS(R58,S58)-1</f>
        <v/>
      </c>
      <c r="U58" s="6" t="inlineStr">
        <is>
          <t>Recomendado con observaciones</t>
        </is>
      </c>
    </row>
    <row r="59">
      <c r="A59" s="2" t="n">
        <v>58</v>
      </c>
      <c r="B59" s="2" t="inlineStr">
        <is>
          <t>octubre 25</t>
        </is>
      </c>
      <c r="C59" s="2" t="inlineStr">
        <is>
          <t>externa</t>
        </is>
      </c>
      <c r="D59" s="3" t="inlineStr">
        <is>
          <t>Carolina Muñoz</t>
        </is>
      </c>
      <c r="E59" s="3" t="inlineStr">
        <is>
          <t>Paulina Martínez Muñoz</t>
        </is>
      </c>
      <c r="F59" s="2" t="inlineStr">
        <is>
          <t>Externo</t>
        </is>
      </c>
      <c r="G59" s="2" t="inlineStr">
        <is>
          <t>Jefatura</t>
        </is>
      </c>
      <c r="H59" s="3" t="inlineStr">
        <is>
          <t>Jefe de Turno</t>
        </is>
      </c>
      <c r="I59" s="2" t="inlineStr">
        <is>
          <t>Planta Calbuco</t>
        </is>
      </c>
      <c r="J59" s="2" t="inlineStr">
        <is>
          <t>Industrial</t>
        </is>
      </c>
      <c r="K59" s="2" t="inlineStr">
        <is>
          <t>Sí</t>
        </is>
      </c>
      <c r="L59" s="2" t="inlineStr">
        <is>
          <t>A170021102</t>
        </is>
      </c>
      <c r="M59" s="2" t="inlineStr">
        <is>
          <t>CV_Paulina_Martínez.pdf</t>
        </is>
      </c>
      <c r="N59" s="2" t="inlineStr">
        <is>
          <t>DC_Jefe_de_Turno.pdf</t>
        </is>
      </c>
      <c r="O59" s="4" t="inlineStr">
        <is>
          <t>Indagar en liderazgo, planificación y gestión de personas. Proceso confidencial.</t>
        </is>
      </c>
      <c r="P59" s="3" t="inlineStr">
        <is>
          <t>Referencias favorables</t>
        </is>
      </c>
      <c r="Q59" s="5" t="n">
        <v>45943</v>
      </c>
      <c r="R59" s="5" t="n">
        <v>45945</v>
      </c>
      <c r="S59" s="5" t="n">
        <v>45947</v>
      </c>
      <c r="T59" s="2">
        <f>NETWORKDAYS(R59,S59)-1</f>
        <v/>
      </c>
      <c r="U59" s="7" t="inlineStr">
        <is>
          <t>Recomendado</t>
        </is>
      </c>
    </row>
    <row r="60">
      <c r="A60" s="2" t="n">
        <v>59</v>
      </c>
      <c r="B60" s="2" t="inlineStr">
        <is>
          <t>noviembre 25</t>
        </is>
      </c>
      <c r="C60" s="2" t="inlineStr">
        <is>
          <t>interna</t>
        </is>
      </c>
      <c r="D60" s="3" t="inlineStr">
        <is>
          <t>Fernanda Rojas</t>
        </is>
      </c>
      <c r="E60" s="3" t="inlineStr">
        <is>
          <t>Sebastián Sepúlveda Valenzuela</t>
        </is>
      </c>
      <c r="F60" s="2" t="inlineStr">
        <is>
          <t>Interno</t>
        </is>
      </c>
      <c r="G60" s="2" t="inlineStr">
        <is>
          <t>Profesional B C</t>
        </is>
      </c>
      <c r="H60" s="3" t="inlineStr">
        <is>
          <t>Analista de Sistemas</t>
        </is>
      </c>
      <c r="I60" s="2" t="inlineStr">
        <is>
          <t>Planta Magallanes</t>
        </is>
      </c>
      <c r="J60" s="2" t="inlineStr">
        <is>
          <t>Industrial</t>
        </is>
      </c>
      <c r="K60" s="2" t="inlineStr">
        <is>
          <t>No</t>
        </is>
      </c>
      <c r="L60" s="2" t="inlineStr"/>
      <c r="M60" s="2" t="inlineStr"/>
      <c r="N60" s="2" t="inlineStr">
        <is>
          <t>DC_Analista_de_Sistemas.pdf</t>
        </is>
      </c>
      <c r="O60" s="4" t="inlineStr">
        <is>
          <t>Indagar en capacidad analítica y manejo de herramientas digitales.</t>
        </is>
      </c>
      <c r="P60" s="3" t="inlineStr"/>
      <c r="Q60" s="5" t="n">
        <v>45971</v>
      </c>
      <c r="R60" s="5" t="n">
        <v>45975</v>
      </c>
      <c r="S60" s="5" t="n">
        <v>45980</v>
      </c>
      <c r="T60" s="2">
        <f>NETWORKDAYS(R60,S60)-1</f>
        <v/>
      </c>
      <c r="U60" s="8" t="inlineStr">
        <is>
          <t>No recomendado</t>
        </is>
      </c>
    </row>
    <row r="61">
      <c r="A61" s="2" t="n">
        <v>60</v>
      </c>
      <c r="B61" s="2" t="inlineStr">
        <is>
          <t>noviembre 25</t>
        </is>
      </c>
      <c r="C61" s="2" t="inlineStr">
        <is>
          <t>interna</t>
        </is>
      </c>
      <c r="D61" s="3" t="inlineStr">
        <is>
          <t>Macarena Vidal</t>
        </is>
      </c>
      <c r="E61" s="3" t="inlineStr">
        <is>
          <t>Héctor Rodríguez Sánchez</t>
        </is>
      </c>
      <c r="F61" s="2" t="inlineStr">
        <is>
          <t>Interno</t>
        </is>
      </c>
      <c r="G61" s="2" t="inlineStr">
        <is>
          <t>Operario Calificado</t>
        </is>
      </c>
      <c r="H61" s="3" t="inlineStr">
        <is>
          <t>Operador Grúa Horquilla</t>
        </is>
      </c>
      <c r="I61" s="2" t="inlineStr">
        <is>
          <t>Planta Calbuco</t>
        </is>
      </c>
      <c r="J61" s="2" t="inlineStr">
        <is>
          <t>Industrial</t>
        </is>
      </c>
      <c r="K61" s="2" t="inlineStr">
        <is>
          <t>No</t>
        </is>
      </c>
      <c r="L61" s="2" t="inlineStr">
        <is>
          <t>A170021102</t>
        </is>
      </c>
      <c r="M61" s="2" t="inlineStr"/>
      <c r="N61" s="2" t="inlineStr">
        <is>
          <t>DC_Operador_Grúa_Horquilla.pdf</t>
        </is>
      </c>
      <c r="O61" s="4" t="inlineStr">
        <is>
          <t>Indagar en apego a normas de seguridad y trabajo en altura.</t>
        </is>
      </c>
      <c r="P61" s="3" t="inlineStr"/>
      <c r="Q61" s="5" t="n">
        <v>45980</v>
      </c>
      <c r="R61" s="5" t="n">
        <v>45987</v>
      </c>
      <c r="S61" s="5" t="n">
        <v>45992</v>
      </c>
      <c r="T61" s="2">
        <f>NETWORKDAYS(R61,S61)-1</f>
        <v/>
      </c>
      <c r="U61" s="7" t="inlineStr">
        <is>
          <t>Recomendado</t>
        </is>
      </c>
    </row>
    <row r="62">
      <c r="A62" s="2" t="n">
        <v>61</v>
      </c>
      <c r="B62" s="2" t="inlineStr">
        <is>
          <t>noviembre 25</t>
        </is>
      </c>
      <c r="C62" s="2" t="inlineStr">
        <is>
          <t>interna</t>
        </is>
      </c>
      <c r="D62" s="3" t="inlineStr">
        <is>
          <t>Macarena Vidal</t>
        </is>
      </c>
      <c r="E62" s="3" t="inlineStr">
        <is>
          <t>Catalina Martínez Espinoza</t>
        </is>
      </c>
      <c r="F62" s="2" t="inlineStr">
        <is>
          <t>Interno</t>
        </is>
      </c>
      <c r="G62" s="2" t="inlineStr">
        <is>
          <t>Supervisor B</t>
        </is>
      </c>
      <c r="H62" s="3" t="inlineStr">
        <is>
          <t>Supervisor Centro de Cultivo</t>
        </is>
      </c>
      <c r="I62" s="2" t="inlineStr">
        <is>
          <t>AM Melinka</t>
        </is>
      </c>
      <c r="J62" s="2" t="inlineStr">
        <is>
          <t>Producción AM</t>
        </is>
      </c>
      <c r="K62" s="2" t="inlineStr">
        <is>
          <t>No</t>
        </is>
      </c>
      <c r="L62" s="2" t="inlineStr">
        <is>
          <t>A170040209</t>
        </is>
      </c>
      <c r="M62" s="2" t="inlineStr"/>
      <c r="N62" s="2" t="inlineStr">
        <is>
          <t>DC_Supervisor_Centro_de_Cultivo.pdf</t>
        </is>
      </c>
      <c r="O62" s="4" t="inlineStr">
        <is>
          <t>Indagar en liderazgo de equipos operativos y manejo de conflictos.</t>
        </is>
      </c>
      <c r="P62" s="3" t="inlineStr"/>
      <c r="Q62" s="5" t="n">
        <v>45972</v>
      </c>
      <c r="R62" s="5" t="n">
        <v>45978</v>
      </c>
      <c r="S62" s="5" t="n">
        <v>45982</v>
      </c>
      <c r="T62" s="2">
        <f>NETWORKDAYS(R62,S62)-1</f>
        <v/>
      </c>
      <c r="U62" s="7" t="inlineStr">
        <is>
          <t>Recomendado</t>
        </is>
      </c>
    </row>
    <row r="63">
      <c r="A63" s="2" t="n">
        <v>62</v>
      </c>
      <c r="B63" s="2" t="inlineStr">
        <is>
          <t>noviembre 25</t>
        </is>
      </c>
      <c r="C63" s="2" t="inlineStr">
        <is>
          <t>interna</t>
        </is>
      </c>
      <c r="D63" s="3" t="inlineStr">
        <is>
          <t>Carolina Muñoz</t>
        </is>
      </c>
      <c r="E63" s="3" t="inlineStr">
        <is>
          <t>Soledad Fuentes Gallardo</t>
        </is>
      </c>
      <c r="F63" s="2" t="inlineStr">
        <is>
          <t>Interno</t>
        </is>
      </c>
      <c r="G63" s="2" t="inlineStr">
        <is>
          <t>Técnico B C</t>
        </is>
      </c>
      <c r="H63" s="3" t="inlineStr">
        <is>
          <t>Técnico Laboratorio</t>
        </is>
      </c>
      <c r="I63" s="2" t="inlineStr">
        <is>
          <t>Codihue</t>
        </is>
      </c>
      <c r="J63" s="2" t="inlineStr">
        <is>
          <t>Producción AD</t>
        </is>
      </c>
      <c r="K63" s="2" t="inlineStr">
        <is>
          <t>No</t>
        </is>
      </c>
      <c r="L63" s="2" t="inlineStr">
        <is>
          <t>A170050103</t>
        </is>
      </c>
      <c r="M63" s="2" t="inlineStr"/>
      <c r="N63" s="2" t="inlineStr">
        <is>
          <t>DC_Técnico_Laboratorio.pdf</t>
        </is>
      </c>
      <c r="O63" s="4" t="inlineStr">
        <is>
          <t>Indagar en disposición a turnos rotativos.</t>
        </is>
      </c>
      <c r="P63" s="3" t="inlineStr"/>
      <c r="Q63" s="5" t="n">
        <v>45978</v>
      </c>
      <c r="R63" s="5" t="n">
        <v>45985</v>
      </c>
      <c r="S63" s="5" t="n">
        <v>45989</v>
      </c>
      <c r="T63" s="2">
        <f>NETWORKDAYS(R63,S63)-1</f>
        <v/>
      </c>
      <c r="U63" s="7" t="inlineStr">
        <is>
          <t>Recomendado</t>
        </is>
      </c>
    </row>
    <row r="64">
      <c r="A64" s="2" t="n">
        <v>63</v>
      </c>
      <c r="B64" s="2" t="inlineStr">
        <is>
          <t>noviembre 25</t>
        </is>
      </c>
      <c r="C64" s="2" t="inlineStr">
        <is>
          <t>externa</t>
        </is>
      </c>
      <c r="D64" s="3" t="inlineStr">
        <is>
          <t>Carolina Muñoz</t>
        </is>
      </c>
      <c r="E64" s="3" t="inlineStr">
        <is>
          <t>Claudia Mansilla Flores</t>
        </is>
      </c>
      <c r="F64" s="2" t="inlineStr">
        <is>
          <t>Externo</t>
        </is>
      </c>
      <c r="G64" s="2" t="inlineStr">
        <is>
          <t>Técnico A</t>
        </is>
      </c>
      <c r="H64" s="3" t="inlineStr">
        <is>
          <t>Técnico Mantención Senior</t>
        </is>
      </c>
      <c r="I64" s="2" t="inlineStr">
        <is>
          <t>AM Melinka</t>
        </is>
      </c>
      <c r="J64" s="2" t="inlineStr">
        <is>
          <t>Producción AM</t>
        </is>
      </c>
      <c r="K64" s="2" t="inlineStr">
        <is>
          <t>No</t>
        </is>
      </c>
      <c r="L64" s="2" t="inlineStr">
        <is>
          <t>A170040206</t>
        </is>
      </c>
      <c r="M64" s="2" t="inlineStr">
        <is>
          <t>CV_Claudia_Mansilla.pdf</t>
        </is>
      </c>
      <c r="N64" s="2" t="inlineStr">
        <is>
          <t>DC_Técnico_Mantención_Senior.pdf</t>
        </is>
      </c>
      <c r="O64" s="4" t="inlineStr">
        <is>
          <t>Indagar en resolución de problemas técnicos y autonomía.</t>
        </is>
      </c>
      <c r="P64" s="3" t="inlineStr"/>
      <c r="Q64" s="5" t="n">
        <v>45964</v>
      </c>
      <c r="R64" s="5" t="n">
        <v>45968</v>
      </c>
      <c r="S64" s="5" t="n">
        <v>45972</v>
      </c>
      <c r="T64" s="2">
        <f>NETWORKDAYS(R64,S64)-1</f>
        <v/>
      </c>
      <c r="U64" s="8" t="inlineStr">
        <is>
          <t>No recomendado</t>
        </is>
      </c>
    </row>
    <row r="65">
      <c r="A65" s="2" t="n">
        <v>64</v>
      </c>
      <c r="B65" s="2" t="inlineStr">
        <is>
          <t>noviembre 25</t>
        </is>
      </c>
      <c r="C65" s="2" t="inlineStr">
        <is>
          <t>interna</t>
        </is>
      </c>
      <c r="D65" s="3" t="inlineStr">
        <is>
          <t>Daniela Contreras</t>
        </is>
      </c>
      <c r="E65" s="3" t="inlineStr">
        <is>
          <t>Pedro Reyes Oyarzún</t>
        </is>
      </c>
      <c r="F65" s="2" t="inlineStr">
        <is>
          <t>Interno</t>
        </is>
      </c>
      <c r="G65" s="2" t="inlineStr">
        <is>
          <t>Jefatura</t>
        </is>
      </c>
      <c r="H65" s="3" t="inlineStr">
        <is>
          <t>Jefe de SSO</t>
        </is>
      </c>
      <c r="I65" s="2" t="inlineStr">
        <is>
          <t>Planta Cailin</t>
        </is>
      </c>
      <c r="J65" s="2" t="inlineStr">
        <is>
          <t>Industrial</t>
        </is>
      </c>
      <c r="K65" s="2" t="inlineStr">
        <is>
          <t>No</t>
        </is>
      </c>
      <c r="L65" s="2" t="inlineStr"/>
      <c r="M65" s="2" t="inlineStr"/>
      <c r="N65" s="2" t="inlineStr">
        <is>
          <t>DC_Jefe_de_SSO.pdf</t>
        </is>
      </c>
      <c r="O65" s="4" t="inlineStr">
        <is>
          <t>Indagar en liderazgo, planificación y gestión de personas. Proceso confidencial.</t>
        </is>
      </c>
      <c r="P65" s="3" t="inlineStr"/>
      <c r="Q65" s="5" t="n">
        <v>45978</v>
      </c>
      <c r="R65" s="5" t="n">
        <v>45980</v>
      </c>
      <c r="S65" s="5" t="n">
        <v>45986</v>
      </c>
      <c r="T65" s="2">
        <f>NETWORKDAYS(R65,S65)-1</f>
        <v/>
      </c>
      <c r="U65" s="8" t="inlineStr">
        <is>
          <t>No recomendado</t>
        </is>
      </c>
    </row>
    <row r="66">
      <c r="A66" s="2" t="n">
        <v>65</v>
      </c>
      <c r="B66" s="2" t="inlineStr">
        <is>
          <t>noviembre 25</t>
        </is>
      </c>
      <c r="C66" s="2" t="inlineStr">
        <is>
          <t>externa</t>
        </is>
      </c>
      <c r="D66" s="3" t="inlineStr">
        <is>
          <t>Carolina Muñoz</t>
        </is>
      </c>
      <c r="E66" s="3" t="inlineStr">
        <is>
          <t>Constanza González Espinoza</t>
        </is>
      </c>
      <c r="F66" s="2" t="inlineStr">
        <is>
          <t>Externo</t>
        </is>
      </c>
      <c r="G66" s="2" t="inlineStr">
        <is>
          <t>Técnico B C</t>
        </is>
      </c>
      <c r="H66" s="3" t="inlineStr">
        <is>
          <t>Operador Sala Control</t>
        </is>
      </c>
      <c r="I66" s="2" t="inlineStr">
        <is>
          <t>Pargua PA</t>
        </is>
      </c>
      <c r="J66" s="2" t="inlineStr">
        <is>
          <t>Otros Producción</t>
        </is>
      </c>
      <c r="K66" s="2" t="inlineStr">
        <is>
          <t>No</t>
        </is>
      </c>
      <c r="L66" s="2" t="inlineStr">
        <is>
          <t>A170030410</t>
        </is>
      </c>
      <c r="M66" s="2" t="inlineStr">
        <is>
          <t>CV_Constanza_González.pdf</t>
        </is>
      </c>
      <c r="N66" s="2" t="inlineStr">
        <is>
          <t>DC_Operador_Sala_Control.pdf</t>
        </is>
      </c>
      <c r="O66" s="4" t="inlineStr">
        <is>
          <t>Validar atención al detalle y cumplimiento de protocolos.</t>
        </is>
      </c>
      <c r="P66" s="3" t="inlineStr"/>
      <c r="Q66" s="5" t="n">
        <v>45982</v>
      </c>
      <c r="R66" s="5" t="n">
        <v>45986</v>
      </c>
      <c r="S66" s="5" t="n">
        <v>45988</v>
      </c>
      <c r="T66" s="2">
        <f>NETWORKDAYS(R66,S66)-1</f>
        <v/>
      </c>
      <c r="U66" s="8" t="inlineStr">
        <is>
          <t>No recomendado</t>
        </is>
      </c>
    </row>
    <row r="67">
      <c r="A67" s="2" t="n">
        <v>66</v>
      </c>
      <c r="B67" s="2" t="inlineStr">
        <is>
          <t>noviembre 25</t>
        </is>
      </c>
      <c r="C67" s="2" t="inlineStr">
        <is>
          <t>externa</t>
        </is>
      </c>
      <c r="D67" s="3" t="inlineStr">
        <is>
          <t>Carolina Muñoz</t>
        </is>
      </c>
      <c r="E67" s="3" t="inlineStr">
        <is>
          <t>Claudio Torres Cárcamo</t>
        </is>
      </c>
      <c r="F67" s="2" t="inlineStr">
        <is>
          <t>Externo</t>
        </is>
      </c>
      <c r="G67" s="2" t="inlineStr">
        <is>
          <t>Jefatura</t>
        </is>
      </c>
      <c r="H67" s="3" t="inlineStr">
        <is>
          <t>Jefe de SSO</t>
        </is>
      </c>
      <c r="I67" s="2" t="inlineStr">
        <is>
          <t>Planta Cailin</t>
        </is>
      </c>
      <c r="J67" s="2" t="inlineStr">
        <is>
          <t>Industrial</t>
        </is>
      </c>
      <c r="K67" s="2" t="inlineStr">
        <is>
          <t>Sí</t>
        </is>
      </c>
      <c r="L67" s="2" t="inlineStr">
        <is>
          <t>A170021501</t>
        </is>
      </c>
      <c r="M67" s="2" t="inlineStr">
        <is>
          <t>CV_Claudio_Torres.pdf</t>
        </is>
      </c>
      <c r="N67" s="2" t="inlineStr">
        <is>
          <t>DC_Jefe_de_SSO.pdf</t>
        </is>
      </c>
      <c r="O67" s="4" t="inlineStr">
        <is>
          <t>Indagar en liderazgo, planificación y gestión de personas. Proceso confidencial.</t>
        </is>
      </c>
      <c r="P67" s="3" t="inlineStr">
        <is>
          <t>Referencias favorables</t>
        </is>
      </c>
      <c r="Q67" s="5" t="n">
        <v>45979</v>
      </c>
      <c r="R67" s="5" t="n">
        <v>45985</v>
      </c>
      <c r="S67" s="5" t="n">
        <v>45987</v>
      </c>
      <c r="T67" s="2">
        <f>NETWORKDAYS(R67,S67)-1</f>
        <v/>
      </c>
      <c r="U67" s="7" t="inlineStr">
        <is>
          <t>Recomendado</t>
        </is>
      </c>
    </row>
    <row r="68">
      <c r="A68" s="2" t="n">
        <v>67</v>
      </c>
      <c r="B68" s="2" t="inlineStr">
        <is>
          <t>diciembre 25</t>
        </is>
      </c>
      <c r="C68" s="2" t="inlineStr">
        <is>
          <t>externa</t>
        </is>
      </c>
      <c r="D68" s="3" t="inlineStr">
        <is>
          <t>Daniela Contreras</t>
        </is>
      </c>
      <c r="E68" s="3" t="inlineStr">
        <is>
          <t>Manuel Cheuquepil Rodríguez</t>
        </is>
      </c>
      <c r="F68" s="2" t="inlineStr">
        <is>
          <t>Externo</t>
        </is>
      </c>
      <c r="G68" s="2" t="inlineStr">
        <is>
          <t>Profesional A</t>
        </is>
      </c>
      <c r="H68" s="3" t="inlineStr">
        <is>
          <t>Jefe de Proyectos TI</t>
        </is>
      </c>
      <c r="I68" s="2" t="inlineStr">
        <is>
          <t>Oficina Central</t>
        </is>
      </c>
      <c r="J68" s="2" t="inlineStr">
        <is>
          <t>Corporativo</t>
        </is>
      </c>
      <c r="K68" s="2" t="inlineStr">
        <is>
          <t>Sí</t>
        </is>
      </c>
      <c r="L68" s="2" t="inlineStr">
        <is>
          <t>A170010303</t>
        </is>
      </c>
      <c r="M68" s="2" t="inlineStr">
        <is>
          <t>CV_Manuel_Cheuquepil.pdf</t>
        </is>
      </c>
      <c r="N68" s="2" t="inlineStr">
        <is>
          <t>DC_Jefe_de_Proyectos_TI.pdf</t>
        </is>
      </c>
      <c r="O68" s="4" t="inlineStr">
        <is>
          <t>Énfasis en visión estratégica y relacionamiento con gerencias.</t>
        </is>
      </c>
      <c r="P68" s="3" t="inlineStr">
        <is>
          <t>Referencias favorables</t>
        </is>
      </c>
      <c r="Q68" s="5" t="n">
        <v>45999</v>
      </c>
      <c r="R68" s="5" t="n">
        <v>46002</v>
      </c>
      <c r="S68" s="5" t="n">
        <v>46007</v>
      </c>
      <c r="T68" s="2">
        <f>NETWORKDAYS(R68,S68)-1</f>
        <v/>
      </c>
      <c r="U68" s="7" t="inlineStr">
        <is>
          <t>Recomendado</t>
        </is>
      </c>
    </row>
    <row r="69">
      <c r="A69" s="2" t="n">
        <v>68</v>
      </c>
      <c r="B69" s="2" t="inlineStr">
        <is>
          <t>diciembre 25</t>
        </is>
      </c>
      <c r="C69" s="2" t="inlineStr">
        <is>
          <t>externa</t>
        </is>
      </c>
      <c r="D69" s="3" t="inlineStr">
        <is>
          <t>Daniela Contreras</t>
        </is>
      </c>
      <c r="E69" s="3" t="inlineStr">
        <is>
          <t>Andrea Alvarado Mansilla</t>
        </is>
      </c>
      <c r="F69" s="2" t="inlineStr">
        <is>
          <t>Externo</t>
        </is>
      </c>
      <c r="G69" s="2" t="inlineStr">
        <is>
          <t>Profesional B C</t>
        </is>
      </c>
      <c r="H69" s="3" t="inlineStr">
        <is>
          <t>Prevencionista de Riesgos</t>
        </is>
      </c>
      <c r="I69" s="2" t="inlineStr">
        <is>
          <t>Pargua PA</t>
        </is>
      </c>
      <c r="J69" s="2" t="inlineStr">
        <is>
          <t>Otros Producción</t>
        </is>
      </c>
      <c r="K69" s="2" t="inlineStr">
        <is>
          <t>Sí</t>
        </is>
      </c>
      <c r="L69" s="2" t="inlineStr">
        <is>
          <t>A170030404</t>
        </is>
      </c>
      <c r="M69" s="2" t="inlineStr">
        <is>
          <t>CV_Andrea_Alvarado.pdf</t>
        </is>
      </c>
      <c r="N69" s="2" t="inlineStr">
        <is>
          <t>DC_Prevencionista_de_Riesgos.pdf</t>
        </is>
      </c>
      <c r="O69" s="4" t="inlineStr">
        <is>
          <t>Validar tolerancia a la presión y organización de tareas.</t>
        </is>
      </c>
      <c r="P69" s="3" t="inlineStr">
        <is>
          <t>2 referencias favorables</t>
        </is>
      </c>
      <c r="Q69" s="5" t="n">
        <v>46007</v>
      </c>
      <c r="R69" s="5" t="n">
        <v>46010</v>
      </c>
      <c r="S69" s="5" t="n">
        <v>46015</v>
      </c>
      <c r="T69" s="2">
        <f>NETWORKDAYS(R69,S69)-1</f>
        <v/>
      </c>
      <c r="U69" s="6" t="inlineStr">
        <is>
          <t>Recomendado con observaciones</t>
        </is>
      </c>
    </row>
    <row r="70">
      <c r="A70" s="2" t="n">
        <v>69</v>
      </c>
      <c r="B70" s="2" t="inlineStr">
        <is>
          <t>diciembre 25</t>
        </is>
      </c>
      <c r="C70" s="2" t="inlineStr">
        <is>
          <t>externa</t>
        </is>
      </c>
      <c r="D70" s="3" t="inlineStr">
        <is>
          <t>Carolina Muñoz</t>
        </is>
      </c>
      <c r="E70" s="3" t="inlineStr">
        <is>
          <t>Ximena Álvarez Alvarado</t>
        </is>
      </c>
      <c r="F70" s="2" t="inlineStr">
        <is>
          <t>Externo</t>
        </is>
      </c>
      <c r="G70" s="2" t="inlineStr">
        <is>
          <t>Profesional B C</t>
        </is>
      </c>
      <c r="H70" s="3" t="inlineStr">
        <is>
          <t>Coordinador Servicios Generales</t>
        </is>
      </c>
      <c r="I70" s="2" t="inlineStr">
        <is>
          <t>Planta Magallanes</t>
        </is>
      </c>
      <c r="J70" s="2" t="inlineStr">
        <is>
          <t>Industrial</t>
        </is>
      </c>
      <c r="K70" s="2" t="inlineStr">
        <is>
          <t>Sí</t>
        </is>
      </c>
      <c r="L70" s="2" t="inlineStr">
        <is>
          <t>A170020706</t>
        </is>
      </c>
      <c r="M70" s="2" t="inlineStr">
        <is>
          <t>CV_Ximena_Álvarez.pdf</t>
        </is>
      </c>
      <c r="N70" s="2" t="inlineStr">
        <is>
          <t>DC_Coordinador_Servicios_Generales.pdf</t>
        </is>
      </c>
      <c r="O70" s="4" t="inlineStr">
        <is>
          <t>Validar tolerancia a la presión y organización de tareas.</t>
        </is>
      </c>
      <c r="P70" s="3" t="inlineStr">
        <is>
          <t>1 referencia con observaciones</t>
        </is>
      </c>
      <c r="Q70" s="5" t="n">
        <v>46008</v>
      </c>
      <c r="R70" s="5" t="n">
        <v>46014</v>
      </c>
      <c r="S70" s="5" t="n">
        <v>46015</v>
      </c>
      <c r="T70" s="2">
        <f>NETWORKDAYS(R70,S70)-1</f>
        <v/>
      </c>
      <c r="U70" s="6" t="inlineStr">
        <is>
          <t>Recomendado con observaciones</t>
        </is>
      </c>
    </row>
    <row r="71">
      <c r="A71" s="2" t="n">
        <v>70</v>
      </c>
      <c r="B71" s="2" t="inlineStr">
        <is>
          <t>diciembre 25</t>
        </is>
      </c>
      <c r="C71" s="2" t="inlineStr">
        <is>
          <t>externa</t>
        </is>
      </c>
      <c r="D71" s="3" t="inlineStr">
        <is>
          <t>Carolina Muñoz</t>
        </is>
      </c>
      <c r="E71" s="3" t="inlineStr">
        <is>
          <t>Diego Navarro Alvarado</t>
        </is>
      </c>
      <c r="F71" s="2" t="inlineStr">
        <is>
          <t>Externo</t>
        </is>
      </c>
      <c r="G71" s="2" t="inlineStr">
        <is>
          <t>Técnico B C</t>
        </is>
      </c>
      <c r="H71" s="3" t="inlineStr">
        <is>
          <t>Asistente Bodega Planta</t>
        </is>
      </c>
      <c r="I71" s="2" t="inlineStr">
        <is>
          <t>Pargua PA</t>
        </is>
      </c>
      <c r="J71" s="2" t="inlineStr">
        <is>
          <t>Otros Producción</t>
        </is>
      </c>
      <c r="K71" s="2" t="inlineStr">
        <is>
          <t>No</t>
        </is>
      </c>
      <c r="L71" s="2" t="inlineStr">
        <is>
          <t>A170030411</t>
        </is>
      </c>
      <c r="M71" s="2" t="inlineStr">
        <is>
          <t>CV_Diego_Navarro.pdf</t>
        </is>
      </c>
      <c r="N71" s="2" t="inlineStr">
        <is>
          <t>DC_Asistente_Bodega_Planta.pdf</t>
        </is>
      </c>
      <c r="O71" s="4" t="inlineStr">
        <is>
          <t>Énfasis en trabajo en equipo y rigurosidad.</t>
        </is>
      </c>
      <c r="P71" s="3" t="inlineStr"/>
      <c r="Q71" s="5" t="n">
        <v>46010</v>
      </c>
      <c r="R71" s="5" t="n">
        <v>46015</v>
      </c>
      <c r="S71" s="5" t="n">
        <v>46017</v>
      </c>
      <c r="T71" s="2">
        <f>NETWORKDAYS(R71,S71)-1</f>
        <v/>
      </c>
      <c r="U71" s="6" t="inlineStr">
        <is>
          <t>Recomendado con observaciones</t>
        </is>
      </c>
    </row>
    <row r="72">
      <c r="A72" s="2" t="n">
        <v>71</v>
      </c>
      <c r="B72" s="2" t="inlineStr">
        <is>
          <t>diciembre 25</t>
        </is>
      </c>
      <c r="C72" s="2" t="inlineStr">
        <is>
          <t>interna</t>
        </is>
      </c>
      <c r="D72" s="3" t="inlineStr">
        <is>
          <t>Carolina Muñoz</t>
        </is>
      </c>
      <c r="E72" s="3" t="inlineStr">
        <is>
          <t>Cristián Barría Morales</t>
        </is>
      </c>
      <c r="F72" s="2" t="inlineStr">
        <is>
          <t>Interno</t>
        </is>
      </c>
      <c r="G72" s="2" t="inlineStr">
        <is>
          <t>Técnico B C</t>
        </is>
      </c>
      <c r="H72" s="3" t="inlineStr">
        <is>
          <t>Monitor Producción</t>
        </is>
      </c>
      <c r="I72" s="2" t="inlineStr">
        <is>
          <t>Planta Calbuco</t>
        </is>
      </c>
      <c r="J72" s="2" t="inlineStr">
        <is>
          <t>Industrial</t>
        </is>
      </c>
      <c r="K72" s="2" t="inlineStr">
        <is>
          <t>No</t>
        </is>
      </c>
      <c r="L72" s="2" t="inlineStr"/>
      <c r="M72" s="2" t="inlineStr"/>
      <c r="N72" s="2" t="inlineStr">
        <is>
          <t>DC_Monitor_Producción.pdf</t>
        </is>
      </c>
      <c r="O72" s="4" t="inlineStr">
        <is>
          <t>Validar atención al detalle y cumplimiento de protocolos.</t>
        </is>
      </c>
      <c r="P72" s="3" t="inlineStr"/>
      <c r="Q72" s="5" t="n">
        <v>46008</v>
      </c>
      <c r="R72" s="5" t="n">
        <v>46015</v>
      </c>
      <c r="S72" s="5" t="n">
        <v>46016</v>
      </c>
      <c r="T72" s="2">
        <f>NETWORKDAYS(R72,S72)-1</f>
        <v/>
      </c>
      <c r="U72" s="7" t="inlineStr">
        <is>
          <t>Recomendado</t>
        </is>
      </c>
    </row>
    <row r="73">
      <c r="A73" s="2" t="n">
        <v>72</v>
      </c>
      <c r="B73" s="2" t="inlineStr">
        <is>
          <t>diciembre 25</t>
        </is>
      </c>
      <c r="C73" s="2" t="inlineStr">
        <is>
          <t>externa</t>
        </is>
      </c>
      <c r="D73" s="3" t="inlineStr">
        <is>
          <t>Macarena Vidal</t>
        </is>
      </c>
      <c r="E73" s="3" t="inlineStr">
        <is>
          <t>Juan Sánchez Navarro</t>
        </is>
      </c>
      <c r="F73" s="2" t="inlineStr">
        <is>
          <t>Externo</t>
        </is>
      </c>
      <c r="G73" s="2" t="inlineStr">
        <is>
          <t>Jefatura</t>
        </is>
      </c>
      <c r="H73" s="3" t="inlineStr">
        <is>
          <t>Jefe Área Piscicultura</t>
        </is>
      </c>
      <c r="I73" s="2" t="inlineStr">
        <is>
          <t>Piscicultura Rupanco</t>
        </is>
      </c>
      <c r="J73" s="2" t="inlineStr">
        <is>
          <t>Producción AD</t>
        </is>
      </c>
      <c r="K73" s="2" t="inlineStr">
        <is>
          <t>Sí</t>
        </is>
      </c>
      <c r="L73" s="2" t="inlineStr">
        <is>
          <t>A170050605</t>
        </is>
      </c>
      <c r="M73" s="2" t="inlineStr">
        <is>
          <t>CV_Juan_Sánchez.pdf</t>
        </is>
      </c>
      <c r="N73" s="2" t="inlineStr">
        <is>
          <t>DC_Jefe_Área_Piscicultura.pdf</t>
        </is>
      </c>
      <c r="O73" s="4" t="inlineStr">
        <is>
          <t>Indagar en liderazgo, planificación y gestión de personas. Proceso confidencial.</t>
        </is>
      </c>
      <c r="P73" s="3" t="inlineStr">
        <is>
          <t>Referencias favorables</t>
        </is>
      </c>
      <c r="Q73" s="5" t="n">
        <v>45996</v>
      </c>
      <c r="R73" s="5" t="n">
        <v>46003</v>
      </c>
      <c r="S73" s="5" t="n">
        <v>46008</v>
      </c>
      <c r="T73" s="2">
        <f>NETWORKDAYS(R73,S73)-1</f>
        <v/>
      </c>
      <c r="U73" s="7" t="inlineStr">
        <is>
          <t>Recomendado</t>
        </is>
      </c>
    </row>
    <row r="74">
      <c r="A74" s="2" t="n">
        <v>73</v>
      </c>
      <c r="B74" s="2" t="inlineStr">
        <is>
          <t>diciembre 25</t>
        </is>
      </c>
      <c r="C74" s="2" t="inlineStr">
        <is>
          <t>interna</t>
        </is>
      </c>
      <c r="D74" s="3" t="inlineStr">
        <is>
          <t>Macarena Vidal</t>
        </is>
      </c>
      <c r="E74" s="3" t="inlineStr">
        <is>
          <t>Luis Castro Flores</t>
        </is>
      </c>
      <c r="F74" s="2" t="inlineStr">
        <is>
          <t>Interno</t>
        </is>
      </c>
      <c r="G74" s="2" t="inlineStr">
        <is>
          <t>Profesional B C</t>
        </is>
      </c>
      <c r="H74" s="3" t="inlineStr">
        <is>
          <t>Coordinador Servicios Generales</t>
        </is>
      </c>
      <c r="I74" s="2" t="inlineStr">
        <is>
          <t>Planta Magallanes</t>
        </is>
      </c>
      <c r="J74" s="2" t="inlineStr">
        <is>
          <t>Industrial</t>
        </is>
      </c>
      <c r="K74" s="2" t="inlineStr">
        <is>
          <t>No</t>
        </is>
      </c>
      <c r="L74" s="2" t="inlineStr"/>
      <c r="M74" s="2" t="inlineStr"/>
      <c r="N74" s="2" t="inlineStr">
        <is>
          <t>DC_Coordinador_Servicios_Generales.pdf</t>
        </is>
      </c>
      <c r="O74" s="4" t="inlineStr">
        <is>
          <t>Indagar en capacidad analítica y manejo de herramientas digitales.</t>
        </is>
      </c>
      <c r="P74" s="3" t="inlineStr"/>
      <c r="Q74" s="5" t="n">
        <v>46006</v>
      </c>
      <c r="R74" s="5" t="n">
        <v>46010</v>
      </c>
      <c r="S74" s="5" t="n">
        <v>46014</v>
      </c>
      <c r="T74" s="2">
        <f>NETWORKDAYS(R74,S74)-1</f>
        <v/>
      </c>
      <c r="U74" s="7" t="inlineStr">
        <is>
          <t>Recomendado</t>
        </is>
      </c>
    </row>
    <row r="75">
      <c r="A75" s="2" t="n">
        <v>74</v>
      </c>
      <c r="B75" s="2" t="inlineStr">
        <is>
          <t>diciembre 25</t>
        </is>
      </c>
      <c r="C75" s="2" t="inlineStr">
        <is>
          <t>interna</t>
        </is>
      </c>
      <c r="D75" s="3" t="inlineStr">
        <is>
          <t>Daniela Contreras</t>
        </is>
      </c>
      <c r="E75" s="3" t="inlineStr">
        <is>
          <t>Carlos Cheuquepil Uribe</t>
        </is>
      </c>
      <c r="F75" s="2" t="inlineStr">
        <is>
          <t>Interno</t>
        </is>
      </c>
      <c r="G75" s="2" t="inlineStr">
        <is>
          <t>Supervisor B</t>
        </is>
      </c>
      <c r="H75" s="3" t="inlineStr">
        <is>
          <t>Supervisor Centro de Cultivo</t>
        </is>
      </c>
      <c r="I75" s="2" t="inlineStr">
        <is>
          <t>AM Chonchi</t>
        </is>
      </c>
      <c r="J75" s="2" t="inlineStr">
        <is>
          <t>Producción AM</t>
        </is>
      </c>
      <c r="K75" s="2" t="inlineStr">
        <is>
          <t>No</t>
        </is>
      </c>
      <c r="L75" s="2" t="inlineStr">
        <is>
          <t>A170040504</t>
        </is>
      </c>
      <c r="M75" s="2" t="inlineStr"/>
      <c r="N75" s="2" t="inlineStr">
        <is>
          <t>DC_Supervisor_Centro_de_Cultivo.pdf</t>
        </is>
      </c>
      <c r="O75" s="4" t="inlineStr">
        <is>
          <t>Indagar en liderazgo de equipos operativos y manejo de conflictos.</t>
        </is>
      </c>
      <c r="P75" s="3" t="inlineStr"/>
      <c r="Q75" s="5" t="n">
        <v>46014</v>
      </c>
      <c r="R75" s="5" t="n">
        <v>46020</v>
      </c>
      <c r="S75" s="5" t="n">
        <v>46023</v>
      </c>
      <c r="T75" s="2">
        <f>NETWORKDAYS(R75,S75)-1</f>
        <v/>
      </c>
      <c r="U75" s="8" t="inlineStr">
        <is>
          <t>No recomendado</t>
        </is>
      </c>
    </row>
    <row r="76">
      <c r="A76" s="2" t="n">
        <v>75</v>
      </c>
      <c r="B76" s="2" t="inlineStr">
        <is>
          <t>diciembre 25</t>
        </is>
      </c>
      <c r="C76" s="2" t="inlineStr">
        <is>
          <t>interna</t>
        </is>
      </c>
      <c r="D76" s="3" t="inlineStr">
        <is>
          <t>Macarena Vidal</t>
        </is>
      </c>
      <c r="E76" s="3" t="inlineStr">
        <is>
          <t>Andrea Navarro Tapia</t>
        </is>
      </c>
      <c r="F76" s="2" t="inlineStr">
        <is>
          <t>Interno</t>
        </is>
      </c>
      <c r="G76" s="2" t="inlineStr">
        <is>
          <t>Técnico B C</t>
        </is>
      </c>
      <c r="H76" s="3" t="inlineStr">
        <is>
          <t>Monitor Producción</t>
        </is>
      </c>
      <c r="I76" s="2" t="inlineStr">
        <is>
          <t>Planta Calbuco</t>
        </is>
      </c>
      <c r="J76" s="2" t="inlineStr">
        <is>
          <t>Industrial</t>
        </is>
      </c>
      <c r="K76" s="2" t="inlineStr">
        <is>
          <t>No</t>
        </is>
      </c>
      <c r="L76" s="2" t="inlineStr"/>
      <c r="M76" s="2" t="inlineStr"/>
      <c r="N76" s="2" t="inlineStr">
        <is>
          <t>DC_Monitor_Producción.pdf</t>
        </is>
      </c>
      <c r="O76" s="4" t="inlineStr">
        <is>
          <t>Validar atención al detalle y cumplimiento de protocolos.</t>
        </is>
      </c>
      <c r="P76" s="3" t="inlineStr"/>
      <c r="Q76" s="5" t="n">
        <v>46006</v>
      </c>
      <c r="R76" s="5" t="n">
        <v>46009</v>
      </c>
      <c r="S76" s="5" t="n">
        <v>46014</v>
      </c>
      <c r="T76" s="2">
        <f>NETWORKDAYS(R76,S76)-1</f>
        <v/>
      </c>
      <c r="U76" s="7" t="inlineStr">
        <is>
          <t>Recomendado</t>
        </is>
      </c>
    </row>
    <row r="77">
      <c r="A77" s="2" t="n">
        <v>76</v>
      </c>
      <c r="B77" s="2" t="inlineStr">
        <is>
          <t>enero 26</t>
        </is>
      </c>
      <c r="C77" s="2" t="inlineStr">
        <is>
          <t>interna</t>
        </is>
      </c>
      <c r="D77" s="3" t="inlineStr">
        <is>
          <t>Fernanda Rojas</t>
        </is>
      </c>
      <c r="E77" s="3" t="inlineStr">
        <is>
          <t>Cristián Rodríguez Vargas</t>
        </is>
      </c>
      <c r="F77" s="2" t="inlineStr">
        <is>
          <t>Interno</t>
        </is>
      </c>
      <c r="G77" s="2" t="inlineStr">
        <is>
          <t>Técnico A</t>
        </is>
      </c>
      <c r="H77" s="3" t="inlineStr">
        <is>
          <t>Técnico Mantención Senior</t>
        </is>
      </c>
      <c r="I77" s="2" t="inlineStr">
        <is>
          <t>AM Chonchi</t>
        </is>
      </c>
      <c r="J77" s="2" t="inlineStr">
        <is>
          <t>Producción AM</t>
        </is>
      </c>
      <c r="K77" s="2" t="inlineStr">
        <is>
          <t>No</t>
        </is>
      </c>
      <c r="L77" s="2" t="inlineStr"/>
      <c r="M77" s="2" t="inlineStr"/>
      <c r="N77" s="2" t="inlineStr">
        <is>
          <t>DC_Técnico_Mantención_Senior.pdf</t>
        </is>
      </c>
      <c r="O77" s="4" t="inlineStr">
        <is>
          <t>Énfasis en disposición a sistema de turnos 7x7 en centro remoto.</t>
        </is>
      </c>
      <c r="P77" s="3" t="inlineStr"/>
      <c r="Q77" s="5" t="n">
        <v>46048</v>
      </c>
      <c r="R77" s="5" t="n">
        <v>46056</v>
      </c>
      <c r="S77" s="5" t="n">
        <v>46062</v>
      </c>
      <c r="T77" s="2">
        <f>NETWORKDAYS(R77,S77)-1</f>
        <v/>
      </c>
      <c r="U77" s="7" t="inlineStr">
        <is>
          <t>Recomendado</t>
        </is>
      </c>
    </row>
    <row r="78">
      <c r="A78" s="2" t="n">
        <v>77</v>
      </c>
      <c r="B78" s="2" t="inlineStr">
        <is>
          <t>enero 26</t>
        </is>
      </c>
      <c r="C78" s="2" t="inlineStr">
        <is>
          <t>externa</t>
        </is>
      </c>
      <c r="D78" s="3" t="inlineStr">
        <is>
          <t>Macarena Vidal</t>
        </is>
      </c>
      <c r="E78" s="3" t="inlineStr">
        <is>
          <t>Ximena Díaz Cheuquepil</t>
        </is>
      </c>
      <c r="F78" s="2" t="inlineStr">
        <is>
          <t>Externo</t>
        </is>
      </c>
      <c r="G78" s="2" t="inlineStr">
        <is>
          <t>Jefatura</t>
        </is>
      </c>
      <c r="H78" s="3" t="inlineStr">
        <is>
          <t>Jefe de Centro</t>
        </is>
      </c>
      <c r="I78" s="2" t="inlineStr">
        <is>
          <t>AM Melinka</t>
        </is>
      </c>
      <c r="J78" s="2" t="inlineStr">
        <is>
          <t>Producción AM</t>
        </is>
      </c>
      <c r="K78" s="2" t="inlineStr">
        <is>
          <t>Sí</t>
        </is>
      </c>
      <c r="L78" s="2" t="inlineStr">
        <is>
          <t>A170040205</t>
        </is>
      </c>
      <c r="M78" s="2" t="inlineStr">
        <is>
          <t>CV_Ximena_Díaz.pdf</t>
        </is>
      </c>
      <c r="N78" s="2" t="inlineStr">
        <is>
          <t>DC_Jefe_de_Centro.pdf</t>
        </is>
      </c>
      <c r="O78" s="4" t="inlineStr">
        <is>
          <t>Énfasis en competencias de gestión y cultura de seguridad.</t>
        </is>
      </c>
      <c r="P78" s="3" t="inlineStr">
        <is>
          <t>Referencias favorables</t>
        </is>
      </c>
      <c r="Q78" s="5" t="n">
        <v>46048</v>
      </c>
      <c r="R78" s="5" t="n">
        <v>46050</v>
      </c>
      <c r="S78" s="5" t="n">
        <v>46056</v>
      </c>
      <c r="T78" s="2">
        <f>NETWORKDAYS(R78,S78)-1</f>
        <v/>
      </c>
      <c r="U78" s="7" t="inlineStr">
        <is>
          <t>Recomendado</t>
        </is>
      </c>
    </row>
    <row r="79">
      <c r="A79" s="2" t="n">
        <v>78</v>
      </c>
      <c r="B79" s="2" t="inlineStr">
        <is>
          <t>enero 26</t>
        </is>
      </c>
      <c r="C79" s="2" t="inlineStr">
        <is>
          <t>interna</t>
        </is>
      </c>
      <c r="D79" s="3" t="inlineStr">
        <is>
          <t>Javiera Soto</t>
        </is>
      </c>
      <c r="E79" s="3" t="inlineStr">
        <is>
          <t>Claudio Vargas Espinoza</t>
        </is>
      </c>
      <c r="F79" s="2" t="inlineStr">
        <is>
          <t>Interno</t>
        </is>
      </c>
      <c r="G79" s="2" t="inlineStr">
        <is>
          <t>Técnico A</t>
        </is>
      </c>
      <c r="H79" s="3" t="inlineStr">
        <is>
          <t>Técnico Eléctrico</t>
        </is>
      </c>
      <c r="I79" s="2" t="inlineStr">
        <is>
          <t>Planta Magallanes</t>
        </is>
      </c>
      <c r="J79" s="2" t="inlineStr">
        <is>
          <t>Industrial</t>
        </is>
      </c>
      <c r="K79" s="2" t="inlineStr">
        <is>
          <t>No</t>
        </is>
      </c>
      <c r="L79" s="2" t="inlineStr"/>
      <c r="M79" s="2" t="inlineStr"/>
      <c r="N79" s="2" t="inlineStr">
        <is>
          <t>DC_Técnico_Eléctrico.pdf</t>
        </is>
      </c>
      <c r="O79" s="4" t="inlineStr">
        <is>
          <t>Énfasis en disposición a sistema de turnos 7x7 en centro remoto.</t>
        </is>
      </c>
      <c r="P79" s="3" t="inlineStr"/>
      <c r="Q79" s="5" t="n">
        <v>46042</v>
      </c>
      <c r="R79" s="5" t="n">
        <v>46050</v>
      </c>
      <c r="S79" s="5" t="n">
        <v>46052</v>
      </c>
      <c r="T79" s="2">
        <f>NETWORKDAYS(R79,S79)-1</f>
        <v/>
      </c>
      <c r="U79" s="6" t="inlineStr">
        <is>
          <t>Recomendado con observaciones</t>
        </is>
      </c>
    </row>
    <row r="80">
      <c r="A80" s="2" t="n">
        <v>79</v>
      </c>
      <c r="B80" s="2" t="inlineStr">
        <is>
          <t>enero 26</t>
        </is>
      </c>
      <c r="C80" s="2" t="inlineStr">
        <is>
          <t>externa</t>
        </is>
      </c>
      <c r="D80" s="3" t="inlineStr">
        <is>
          <t>Carolina Muñoz</t>
        </is>
      </c>
      <c r="E80" s="3" t="inlineStr">
        <is>
          <t>Francisco Cheuquepil Gutiérrez</t>
        </is>
      </c>
      <c r="F80" s="2" t="inlineStr">
        <is>
          <t>Externo</t>
        </is>
      </c>
      <c r="G80" s="2" t="inlineStr">
        <is>
          <t>Jefatura</t>
        </is>
      </c>
      <c r="H80" s="3" t="inlineStr">
        <is>
          <t>Jefe Área Piscicultura</t>
        </is>
      </c>
      <c r="I80" s="2" t="inlineStr">
        <is>
          <t>Codihue</t>
        </is>
      </c>
      <c r="J80" s="2" t="inlineStr">
        <is>
          <t>Producción AD</t>
        </is>
      </c>
      <c r="K80" s="2" t="inlineStr">
        <is>
          <t>Sí</t>
        </is>
      </c>
      <c r="L80" s="2" t="inlineStr">
        <is>
          <t>A170050104</t>
        </is>
      </c>
      <c r="M80" s="2" t="inlineStr">
        <is>
          <t>CV_Francisco_Cheuquepil.pdf</t>
        </is>
      </c>
      <c r="N80" s="2" t="inlineStr">
        <is>
          <t>DC_Jefe_Área_Piscicultura.pdf</t>
        </is>
      </c>
      <c r="O80" s="4" t="inlineStr">
        <is>
          <t>Indagar en liderazgo, planificación y gestión de personas. Proceso confidencial.</t>
        </is>
      </c>
      <c r="P80" s="3" t="inlineStr">
        <is>
          <t>1 referencia con observaciones</t>
        </is>
      </c>
      <c r="Q80" s="5" t="n">
        <v>46041</v>
      </c>
      <c r="R80" s="5" t="n">
        <v>46049</v>
      </c>
      <c r="S80" s="5" t="n">
        <v>46051</v>
      </c>
      <c r="T80" s="2">
        <f>NETWORKDAYS(R80,S80)-1</f>
        <v/>
      </c>
      <c r="U80" s="7" t="inlineStr">
        <is>
          <t>Recomendado</t>
        </is>
      </c>
    </row>
    <row r="81">
      <c r="A81" s="2" t="n">
        <v>80</v>
      </c>
      <c r="B81" s="2" t="inlineStr">
        <is>
          <t>enero 26</t>
        </is>
      </c>
      <c r="C81" s="2" t="inlineStr">
        <is>
          <t>externa</t>
        </is>
      </c>
      <c r="D81" s="3" t="inlineStr">
        <is>
          <t>Carolina Muñoz</t>
        </is>
      </c>
      <c r="E81" s="3" t="inlineStr">
        <is>
          <t>Víctor Morales Vásquez</t>
        </is>
      </c>
      <c r="F81" s="2" t="inlineStr">
        <is>
          <t>Externo</t>
        </is>
      </c>
      <c r="G81" s="2" t="inlineStr">
        <is>
          <t>Operario Calificado</t>
        </is>
      </c>
      <c r="H81" s="3" t="inlineStr">
        <is>
          <t>Operador Grúa Horquilla</t>
        </is>
      </c>
      <c r="I81" s="2" t="inlineStr">
        <is>
          <t>Planta Cailin</t>
        </is>
      </c>
      <c r="J81" s="2" t="inlineStr">
        <is>
          <t>Industrial</t>
        </is>
      </c>
      <c r="K81" s="2" t="inlineStr">
        <is>
          <t>No</t>
        </is>
      </c>
      <c r="L81" s="2" t="inlineStr">
        <is>
          <t>A170021509</t>
        </is>
      </c>
      <c r="M81" s="2" t="inlineStr">
        <is>
          <t>CV_Víctor_Morales.pdf</t>
        </is>
      </c>
      <c r="N81" s="2" t="inlineStr">
        <is>
          <t>DC_Operador_Grúa_Horquilla.pdf</t>
        </is>
      </c>
      <c r="O81" s="4" t="inlineStr">
        <is>
          <t>Indagar en apego a normas de seguridad y trabajo en altura.</t>
        </is>
      </c>
      <c r="P81" s="3" t="inlineStr"/>
      <c r="Q81" s="5" t="n">
        <v>46029</v>
      </c>
      <c r="R81" s="5" t="n">
        <v>46035</v>
      </c>
      <c r="S81" s="5" t="n">
        <v>46036</v>
      </c>
      <c r="T81" s="2">
        <f>NETWORKDAYS(R81,S81)-1</f>
        <v/>
      </c>
      <c r="U81" s="7" t="inlineStr">
        <is>
          <t>Recomendado</t>
        </is>
      </c>
    </row>
    <row r="82">
      <c r="A82" s="2" t="n">
        <v>81</v>
      </c>
      <c r="B82" s="2" t="inlineStr">
        <is>
          <t>enero 26</t>
        </is>
      </c>
      <c r="C82" s="2" t="inlineStr">
        <is>
          <t>externa</t>
        </is>
      </c>
      <c r="D82" s="3" t="inlineStr">
        <is>
          <t>Carolina Muñoz</t>
        </is>
      </c>
      <c r="E82" s="3" t="inlineStr">
        <is>
          <t>Patricio Contreras Álvarez</t>
        </is>
      </c>
      <c r="F82" s="2" t="inlineStr">
        <is>
          <t>Externo</t>
        </is>
      </c>
      <c r="G82" s="2" t="inlineStr">
        <is>
          <t>Operario Calificado</t>
        </is>
      </c>
      <c r="H82" s="3" t="inlineStr">
        <is>
          <t>Grúero</t>
        </is>
      </c>
      <c r="I82" s="2" t="inlineStr">
        <is>
          <t>Planta Calbuco</t>
        </is>
      </c>
      <c r="J82" s="2" t="inlineStr">
        <is>
          <t>Industrial</t>
        </is>
      </c>
      <c r="K82" s="2" t="inlineStr">
        <is>
          <t>No</t>
        </is>
      </c>
      <c r="L82" s="2" t="inlineStr">
        <is>
          <t>A170021104</t>
        </is>
      </c>
      <c r="M82" s="2" t="inlineStr">
        <is>
          <t>CV_Patricio_Contreras.pdf</t>
        </is>
      </c>
      <c r="N82" s="2" t="inlineStr">
        <is>
          <t>DC_Grúero.pdf</t>
        </is>
      </c>
      <c r="O82" s="4" t="inlineStr">
        <is>
          <t>Validar autocuidado y cumplimiento de procedimientos.</t>
        </is>
      </c>
      <c r="P82" s="3" t="inlineStr"/>
      <c r="Q82" s="5" t="n">
        <v>46034</v>
      </c>
      <c r="R82" s="5" t="n">
        <v>46038</v>
      </c>
      <c r="S82" s="5" t="n">
        <v>46041</v>
      </c>
      <c r="T82" s="2">
        <f>NETWORKDAYS(R82,S82)-1</f>
        <v/>
      </c>
      <c r="U82" s="7" t="inlineStr">
        <is>
          <t>Recomendado</t>
        </is>
      </c>
    </row>
    <row r="83">
      <c r="A83" s="2" t="n">
        <v>82</v>
      </c>
      <c r="B83" s="2" t="inlineStr">
        <is>
          <t>enero 26</t>
        </is>
      </c>
      <c r="C83" s="2" t="inlineStr">
        <is>
          <t>interna</t>
        </is>
      </c>
      <c r="D83" s="3" t="inlineStr">
        <is>
          <t>Javiera Soto</t>
        </is>
      </c>
      <c r="E83" s="3" t="inlineStr">
        <is>
          <t>Paola López Uribe</t>
        </is>
      </c>
      <c r="F83" s="2" t="inlineStr">
        <is>
          <t>Interno</t>
        </is>
      </c>
      <c r="G83" s="2" t="inlineStr">
        <is>
          <t>Profesional B C</t>
        </is>
      </c>
      <c r="H83" s="3" t="inlineStr">
        <is>
          <t>Analista de Control de Gestión</t>
        </is>
      </c>
      <c r="I83" s="2" t="inlineStr">
        <is>
          <t>Oficina Central</t>
        </is>
      </c>
      <c r="J83" s="2" t="inlineStr">
        <is>
          <t>Corporativo</t>
        </is>
      </c>
      <c r="K83" s="2" t="inlineStr">
        <is>
          <t>No</t>
        </is>
      </c>
      <c r="L83" s="2" t="inlineStr"/>
      <c r="M83" s="2" t="inlineStr"/>
      <c r="N83" s="2" t="inlineStr">
        <is>
          <t>DC_Analista_de_Control_de_Gestión.pdf</t>
        </is>
      </c>
      <c r="O83" s="4" t="inlineStr">
        <is>
          <t>Énfasis en orientación a resultados y trabajo colaborativo.</t>
        </is>
      </c>
      <c r="P83" s="3" t="inlineStr"/>
      <c r="Q83" s="5" t="n">
        <v>46034</v>
      </c>
      <c r="R83" s="5" t="n">
        <v>46042</v>
      </c>
      <c r="S83" s="5" t="n">
        <v>46044</v>
      </c>
      <c r="T83" s="2">
        <f>NETWORKDAYS(R83,S83)-1</f>
        <v/>
      </c>
      <c r="U83" s="7" t="inlineStr">
        <is>
          <t>Recomendado</t>
        </is>
      </c>
    </row>
    <row r="84">
      <c r="A84" s="2" t="n">
        <v>83</v>
      </c>
      <c r="B84" s="2" t="inlineStr">
        <is>
          <t>enero 26</t>
        </is>
      </c>
      <c r="C84" s="2" t="inlineStr">
        <is>
          <t>interna</t>
        </is>
      </c>
      <c r="D84" s="3" t="inlineStr">
        <is>
          <t>Daniela Contreras</t>
        </is>
      </c>
      <c r="E84" s="3" t="inlineStr">
        <is>
          <t>Carlos Uribe Vásquez</t>
        </is>
      </c>
      <c r="F84" s="2" t="inlineStr">
        <is>
          <t>Interno</t>
        </is>
      </c>
      <c r="G84" s="2" t="inlineStr">
        <is>
          <t>Profesional B C</t>
        </is>
      </c>
      <c r="H84" s="3" t="inlineStr">
        <is>
          <t>Analista de Control de Gestión</t>
        </is>
      </c>
      <c r="I84" s="2" t="inlineStr">
        <is>
          <t>Oficina Central</t>
        </is>
      </c>
      <c r="J84" s="2" t="inlineStr">
        <is>
          <t>Corporativo</t>
        </is>
      </c>
      <c r="K84" s="2" t="inlineStr">
        <is>
          <t>No</t>
        </is>
      </c>
      <c r="L84" s="2" t="inlineStr"/>
      <c r="M84" s="2" t="inlineStr"/>
      <c r="N84" s="2" t="inlineStr">
        <is>
          <t>DC_Analista_de_Control_de_Gestión.pdf</t>
        </is>
      </c>
      <c r="O84" s="4" t="inlineStr">
        <is>
          <t>Énfasis en orientación a resultados y trabajo colaborativo.</t>
        </is>
      </c>
      <c r="P84" s="3" t="inlineStr"/>
      <c r="Q84" s="5" t="n">
        <v>46027</v>
      </c>
      <c r="R84" s="5" t="n">
        <v>46029</v>
      </c>
      <c r="S84" s="5" t="n">
        <v>46030</v>
      </c>
      <c r="T84" s="2">
        <f>NETWORKDAYS(R84,S84)-1</f>
        <v/>
      </c>
      <c r="U84" s="6" t="inlineStr">
        <is>
          <t>Recomendado con observaciones</t>
        </is>
      </c>
    </row>
    <row r="85">
      <c r="A85" s="2" t="n">
        <v>84</v>
      </c>
      <c r="B85" s="2" t="inlineStr">
        <is>
          <t>enero 26</t>
        </is>
      </c>
      <c r="C85" s="2" t="inlineStr">
        <is>
          <t>externa</t>
        </is>
      </c>
      <c r="D85" s="3" t="inlineStr">
        <is>
          <t>Fernanda Rojas</t>
        </is>
      </c>
      <c r="E85" s="3" t="inlineStr">
        <is>
          <t>Carlos Díaz Álvarez</t>
        </is>
      </c>
      <c r="F85" s="2" t="inlineStr">
        <is>
          <t>Externo</t>
        </is>
      </c>
      <c r="G85" s="2" t="inlineStr">
        <is>
          <t>Supervisor B</t>
        </is>
      </c>
      <c r="H85" s="3" t="inlineStr">
        <is>
          <t>Supervisor Planta</t>
        </is>
      </c>
      <c r="I85" s="2" t="inlineStr">
        <is>
          <t>Planta Calbuco</t>
        </is>
      </c>
      <c r="J85" s="2" t="inlineStr">
        <is>
          <t>Industrial</t>
        </is>
      </c>
      <c r="K85" s="2" t="inlineStr">
        <is>
          <t>Sí</t>
        </is>
      </c>
      <c r="L85" s="2" t="inlineStr">
        <is>
          <t>A170021103</t>
        </is>
      </c>
      <c r="M85" s="2" t="inlineStr">
        <is>
          <t>CV_Carlos_Díaz.pdf</t>
        </is>
      </c>
      <c r="N85" s="2" t="inlineStr">
        <is>
          <t>DC_Supervisor_Planta.pdf</t>
        </is>
      </c>
      <c r="O85" s="4" t="inlineStr">
        <is>
          <t>Énfasis en comunicación efectiva y toma de decisiones bajo presión.</t>
        </is>
      </c>
      <c r="P85" s="3" t="inlineStr">
        <is>
          <t>1 referencia con observaciones</t>
        </is>
      </c>
      <c r="Q85" s="5" t="n">
        <v>46036</v>
      </c>
      <c r="R85" s="5" t="n">
        <v>46038</v>
      </c>
      <c r="S85" s="5" t="n">
        <v>46042</v>
      </c>
      <c r="T85" s="2">
        <f>NETWORKDAYS(R85,S85)-1</f>
        <v/>
      </c>
      <c r="U85" s="6" t="inlineStr">
        <is>
          <t>Recomendado con observaciones</t>
        </is>
      </c>
    </row>
    <row r="86">
      <c r="A86" s="2" t="n">
        <v>85</v>
      </c>
      <c r="B86" s="2" t="inlineStr">
        <is>
          <t>febrero 26</t>
        </is>
      </c>
      <c r="C86" s="2" t="inlineStr">
        <is>
          <t>interna</t>
        </is>
      </c>
      <c r="D86" s="3" t="inlineStr">
        <is>
          <t>Fernanda Rojas</t>
        </is>
      </c>
      <c r="E86" s="3" t="inlineStr">
        <is>
          <t>Andrea Navarro Navarro</t>
        </is>
      </c>
      <c r="F86" s="2" t="inlineStr">
        <is>
          <t>Interno</t>
        </is>
      </c>
      <c r="G86" s="2" t="inlineStr">
        <is>
          <t>Profesional B C</t>
        </is>
      </c>
      <c r="H86" s="3" t="inlineStr">
        <is>
          <t>Coordinador Servicios Generales</t>
        </is>
      </c>
      <c r="I86" s="2" t="inlineStr">
        <is>
          <t>Planta Calbuco</t>
        </is>
      </c>
      <c r="J86" s="2" t="inlineStr">
        <is>
          <t>Industrial</t>
        </is>
      </c>
      <c r="K86" s="2" t="inlineStr">
        <is>
          <t>No</t>
        </is>
      </c>
      <c r="L86" s="2" t="inlineStr"/>
      <c r="M86" s="2" t="inlineStr"/>
      <c r="N86" s="2" t="inlineStr">
        <is>
          <t>DC_Coordinador_Servicios_Generales.pdf</t>
        </is>
      </c>
      <c r="O86" s="4" t="inlineStr">
        <is>
          <t>Indagar en capacidad analítica y manejo de herramientas digitales.</t>
        </is>
      </c>
      <c r="P86" s="3" t="inlineStr"/>
      <c r="Q86" s="5" t="n">
        <v>46062</v>
      </c>
      <c r="R86" s="5" t="n">
        <v>46069</v>
      </c>
      <c r="S86" s="5" t="n">
        <v>46073</v>
      </c>
      <c r="T86" s="2">
        <f>NETWORKDAYS(R86,S86)-1</f>
        <v/>
      </c>
      <c r="U86" s="7" t="inlineStr">
        <is>
          <t>Recomendado</t>
        </is>
      </c>
    </row>
    <row r="87">
      <c r="A87" s="2" t="n">
        <v>86</v>
      </c>
      <c r="B87" s="2" t="inlineStr">
        <is>
          <t>febrero 26</t>
        </is>
      </c>
      <c r="C87" s="2" t="inlineStr">
        <is>
          <t>interna</t>
        </is>
      </c>
      <c r="D87" s="3" t="inlineStr">
        <is>
          <t>Macarena Vidal</t>
        </is>
      </c>
      <c r="E87" s="3" t="inlineStr">
        <is>
          <t>Karen Castillo Vásquez</t>
        </is>
      </c>
      <c r="F87" s="2" t="inlineStr">
        <is>
          <t>Interno</t>
        </is>
      </c>
      <c r="G87" s="2" t="inlineStr">
        <is>
          <t>Profesional B C</t>
        </is>
      </c>
      <c r="H87" s="3" t="inlineStr">
        <is>
          <t>Analista de Sistemas</t>
        </is>
      </c>
      <c r="I87" s="2" t="inlineStr">
        <is>
          <t>Oficina Central</t>
        </is>
      </c>
      <c r="J87" s="2" t="inlineStr">
        <is>
          <t>Corporativo</t>
        </is>
      </c>
      <c r="K87" s="2" t="inlineStr">
        <is>
          <t>No</t>
        </is>
      </c>
      <c r="L87" s="2" t="inlineStr"/>
      <c r="M87" s="2" t="inlineStr"/>
      <c r="N87" s="2" t="inlineStr">
        <is>
          <t>DC_Analista_de_Sistemas.pdf</t>
        </is>
      </c>
      <c r="O87" s="4" t="inlineStr">
        <is>
          <t>Validar tolerancia a la presión y organización de tareas.</t>
        </is>
      </c>
      <c r="P87" s="3" t="inlineStr"/>
      <c r="Q87" s="5" t="n">
        <v>46072</v>
      </c>
      <c r="R87" s="5" t="n">
        <v>46078</v>
      </c>
      <c r="S87" s="5" t="n">
        <v>46080</v>
      </c>
      <c r="T87" s="2">
        <f>NETWORKDAYS(R87,S87)-1</f>
        <v/>
      </c>
      <c r="U87" s="6" t="inlineStr">
        <is>
          <t>Recomendado con observaciones</t>
        </is>
      </c>
    </row>
    <row r="88">
      <c r="A88" s="2" t="n">
        <v>87</v>
      </c>
      <c r="B88" s="2" t="inlineStr">
        <is>
          <t>febrero 26</t>
        </is>
      </c>
      <c r="C88" s="2" t="inlineStr">
        <is>
          <t>interna</t>
        </is>
      </c>
      <c r="D88" s="3" t="inlineStr">
        <is>
          <t>Macarena Vidal</t>
        </is>
      </c>
      <c r="E88" s="3" t="inlineStr">
        <is>
          <t>Karen Mansilla Oyarzún</t>
        </is>
      </c>
      <c r="F88" s="2" t="inlineStr">
        <is>
          <t>Interno</t>
        </is>
      </c>
      <c r="G88" s="2" t="inlineStr">
        <is>
          <t>Profesional B C</t>
        </is>
      </c>
      <c r="H88" s="3" t="inlineStr">
        <is>
          <t>Prevencionista de Riesgos</t>
        </is>
      </c>
      <c r="I88" s="2" t="inlineStr">
        <is>
          <t>AM Melinka</t>
        </is>
      </c>
      <c r="J88" s="2" t="inlineStr">
        <is>
          <t>Producción AM</t>
        </is>
      </c>
      <c r="K88" s="2" t="inlineStr">
        <is>
          <t>No</t>
        </is>
      </c>
      <c r="L88" s="2" t="inlineStr">
        <is>
          <t>A170040212</t>
        </is>
      </c>
      <c r="M88" s="2" t="inlineStr"/>
      <c r="N88" s="2" t="inlineStr">
        <is>
          <t>DC_Prevencionista_de_Riesgos.pdf</t>
        </is>
      </c>
      <c r="O88" s="4" t="inlineStr">
        <is>
          <t>Indagar en capacidad analítica y manejo de herramientas digitales.</t>
        </is>
      </c>
      <c r="P88" s="3" t="inlineStr"/>
      <c r="Q88" s="5" t="n">
        <v>46062</v>
      </c>
      <c r="R88" s="5" t="n">
        <v>46065</v>
      </c>
      <c r="S88" s="5" t="n">
        <v>46070</v>
      </c>
      <c r="T88" s="2">
        <f>NETWORKDAYS(R88,S88)-1</f>
        <v/>
      </c>
      <c r="U88" s="8" t="inlineStr">
        <is>
          <t>No recomendado</t>
        </is>
      </c>
    </row>
    <row r="89">
      <c r="A89" s="2" t="n">
        <v>88</v>
      </c>
      <c r="B89" s="2" t="inlineStr">
        <is>
          <t>febrero 26</t>
        </is>
      </c>
      <c r="C89" s="2" t="inlineStr">
        <is>
          <t>interna</t>
        </is>
      </c>
      <c r="D89" s="3" t="inlineStr">
        <is>
          <t>Javiera Soto</t>
        </is>
      </c>
      <c r="E89" s="3" t="inlineStr">
        <is>
          <t>Karen Valenzuela Silva</t>
        </is>
      </c>
      <c r="F89" s="2" t="inlineStr">
        <is>
          <t>Interno</t>
        </is>
      </c>
      <c r="G89" s="2" t="inlineStr">
        <is>
          <t>Profesional B C</t>
        </is>
      </c>
      <c r="H89" s="3" t="inlineStr">
        <is>
          <t>Prevencionista de Riesgos</t>
        </is>
      </c>
      <c r="I89" s="2" t="inlineStr">
        <is>
          <t>Pargua PA</t>
        </is>
      </c>
      <c r="J89" s="2" t="inlineStr">
        <is>
          <t>Otros Producción</t>
        </is>
      </c>
      <c r="K89" s="2" t="inlineStr">
        <is>
          <t>No</t>
        </is>
      </c>
      <c r="L89" s="2" t="inlineStr"/>
      <c r="M89" s="2" t="inlineStr"/>
      <c r="N89" s="2" t="inlineStr">
        <is>
          <t>DC_Prevencionista_de_Riesgos.pdf</t>
        </is>
      </c>
      <c r="O89" s="4" t="inlineStr">
        <is>
          <t>Validar tolerancia a la presión y organización de tareas.</t>
        </is>
      </c>
      <c r="P89" s="3" t="inlineStr"/>
      <c r="Q89" s="5" t="n">
        <v>46062</v>
      </c>
      <c r="R89" s="5" t="n">
        <v>46064</v>
      </c>
      <c r="S89" s="5" t="n">
        <v>46066</v>
      </c>
      <c r="T89" s="2">
        <f>NETWORKDAYS(R89,S89)-1</f>
        <v/>
      </c>
      <c r="U89" s="7" t="inlineStr">
        <is>
          <t>Recomendado</t>
        </is>
      </c>
    </row>
    <row r="90">
      <c r="A90" s="2" t="n">
        <v>89</v>
      </c>
      <c r="B90" s="2" t="inlineStr">
        <is>
          <t>febrero 26</t>
        </is>
      </c>
      <c r="C90" s="2" t="inlineStr">
        <is>
          <t>interna</t>
        </is>
      </c>
      <c r="D90" s="3" t="inlineStr">
        <is>
          <t>Daniela Contreras</t>
        </is>
      </c>
      <c r="E90" s="3" t="inlineStr">
        <is>
          <t>Jorge Cheuquepil Oyarzún</t>
        </is>
      </c>
      <c r="F90" s="2" t="inlineStr">
        <is>
          <t>Interno</t>
        </is>
      </c>
      <c r="G90" s="2" t="inlineStr">
        <is>
          <t>Técnico B C</t>
        </is>
      </c>
      <c r="H90" s="3" t="inlineStr">
        <is>
          <t>Monitor Producción</t>
        </is>
      </c>
      <c r="I90" s="2" t="inlineStr">
        <is>
          <t>Planta Calbuco</t>
        </is>
      </c>
      <c r="J90" s="2" t="inlineStr">
        <is>
          <t>Industrial</t>
        </is>
      </c>
      <c r="K90" s="2" t="inlineStr">
        <is>
          <t>No</t>
        </is>
      </c>
      <c r="L90" s="2" t="inlineStr"/>
      <c r="M90" s="2" t="inlineStr"/>
      <c r="N90" s="2" t="inlineStr">
        <is>
          <t>DC_Monitor_Producción.pdf</t>
        </is>
      </c>
      <c r="O90" s="4" t="inlineStr">
        <is>
          <t>Validar atención al detalle y cumplimiento de protocolos.</t>
        </is>
      </c>
      <c r="P90" s="3" t="inlineStr"/>
      <c r="Q90" s="5" t="n">
        <v>46076</v>
      </c>
      <c r="R90" s="5" t="n">
        <v>46078</v>
      </c>
      <c r="S90" s="5" t="n">
        <v>46080</v>
      </c>
      <c r="T90" s="2">
        <f>NETWORKDAYS(R90,S90)-1</f>
        <v/>
      </c>
      <c r="U90" s="6" t="inlineStr">
        <is>
          <t>Recomendado con observaciones</t>
        </is>
      </c>
    </row>
    <row r="91">
      <c r="A91" s="2" t="n">
        <v>90</v>
      </c>
      <c r="B91" s="2" t="inlineStr">
        <is>
          <t>febrero 26</t>
        </is>
      </c>
      <c r="C91" s="2" t="inlineStr">
        <is>
          <t>interna</t>
        </is>
      </c>
      <c r="D91" s="3" t="inlineStr">
        <is>
          <t>Javiera Soto</t>
        </is>
      </c>
      <c r="E91" s="3" t="inlineStr">
        <is>
          <t>María Reyes Castro</t>
        </is>
      </c>
      <c r="F91" s="2" t="inlineStr">
        <is>
          <t>Interno</t>
        </is>
      </c>
      <c r="G91" s="2" t="inlineStr">
        <is>
          <t>Supervisor B</t>
        </is>
      </c>
      <c r="H91" s="3" t="inlineStr">
        <is>
          <t>Supervisor Planta</t>
        </is>
      </c>
      <c r="I91" s="2" t="inlineStr">
        <is>
          <t>Planta Cailin</t>
        </is>
      </c>
      <c r="J91" s="2" t="inlineStr">
        <is>
          <t>Industrial</t>
        </is>
      </c>
      <c r="K91" s="2" t="inlineStr">
        <is>
          <t>No</t>
        </is>
      </c>
      <c r="L91" s="2" t="inlineStr"/>
      <c r="M91" s="2" t="inlineStr"/>
      <c r="N91" s="2" t="inlineStr">
        <is>
          <t>DC_Supervisor_Planta.pdf</t>
        </is>
      </c>
      <c r="O91" s="4" t="inlineStr">
        <is>
          <t>Énfasis en comunicación efectiva y toma de decisiones bajo presión.</t>
        </is>
      </c>
      <c r="P91" s="3" t="inlineStr"/>
      <c r="Q91" s="5" t="n">
        <v>46079</v>
      </c>
      <c r="R91" s="5" t="n">
        <v>46085</v>
      </c>
      <c r="S91" s="5" t="n">
        <v>46091</v>
      </c>
      <c r="T91" s="2">
        <f>NETWORKDAYS(R91,S91)-1</f>
        <v/>
      </c>
      <c r="U91" s="7" t="inlineStr">
        <is>
          <t>Recomendado</t>
        </is>
      </c>
    </row>
    <row r="92">
      <c r="A92" s="2" t="n">
        <v>91</v>
      </c>
      <c r="B92" s="2" t="inlineStr">
        <is>
          <t>febrero 26</t>
        </is>
      </c>
      <c r="C92" s="2" t="inlineStr">
        <is>
          <t>interna</t>
        </is>
      </c>
      <c r="D92" s="3" t="inlineStr">
        <is>
          <t>Javiera Soto</t>
        </is>
      </c>
      <c r="E92" s="3" t="inlineStr">
        <is>
          <t>Diego Ruiz Ruiz</t>
        </is>
      </c>
      <c r="F92" s="2" t="inlineStr">
        <is>
          <t>Interno</t>
        </is>
      </c>
      <c r="G92" s="2" t="inlineStr">
        <is>
          <t>Supervisor B</t>
        </is>
      </c>
      <c r="H92" s="3" t="inlineStr">
        <is>
          <t>Supervisor Planta</t>
        </is>
      </c>
      <c r="I92" s="2" t="inlineStr">
        <is>
          <t>Planta Magallanes</t>
        </is>
      </c>
      <c r="J92" s="2" t="inlineStr">
        <is>
          <t>Industrial</t>
        </is>
      </c>
      <c r="K92" s="2" t="inlineStr">
        <is>
          <t>No</t>
        </is>
      </c>
      <c r="L92" s="2" t="inlineStr"/>
      <c r="M92" s="2" t="inlineStr"/>
      <c r="N92" s="2" t="inlineStr">
        <is>
          <t>DC_Supervisor_Planta.pdf</t>
        </is>
      </c>
      <c r="O92" s="4" t="inlineStr">
        <is>
          <t>Énfasis en comunicación efectiva y toma de decisiones bajo presión.</t>
        </is>
      </c>
      <c r="P92" s="3" t="inlineStr"/>
      <c r="Q92" s="5" t="n">
        <v>46057</v>
      </c>
      <c r="R92" s="5" t="n">
        <v>46063</v>
      </c>
      <c r="S92" s="5" t="n">
        <v>46065</v>
      </c>
      <c r="T92" s="2">
        <f>NETWORKDAYS(R92,S92)-1</f>
        <v/>
      </c>
      <c r="U92" s="7" t="inlineStr">
        <is>
          <t>Recomendado</t>
        </is>
      </c>
    </row>
    <row r="93">
      <c r="A93" s="2" t="n">
        <v>92</v>
      </c>
      <c r="B93" s="2" t="inlineStr">
        <is>
          <t>febrero 26</t>
        </is>
      </c>
      <c r="C93" s="2" t="inlineStr">
        <is>
          <t>externa</t>
        </is>
      </c>
      <c r="D93" s="3" t="inlineStr">
        <is>
          <t>Macarena Vidal</t>
        </is>
      </c>
      <c r="E93" s="3" t="inlineStr">
        <is>
          <t>Claudia Díaz Gutiérrez</t>
        </is>
      </c>
      <c r="F93" s="2" t="inlineStr">
        <is>
          <t>Externo</t>
        </is>
      </c>
      <c r="G93" s="2" t="inlineStr">
        <is>
          <t>Profesional A</t>
        </is>
      </c>
      <c r="H93" s="3" t="inlineStr">
        <is>
          <t>Líder Desarrollo Producción</t>
        </is>
      </c>
      <c r="I93" s="2" t="inlineStr">
        <is>
          <t>Oficina Central</t>
        </is>
      </c>
      <c r="J93" s="2" t="inlineStr">
        <is>
          <t>Corporativo</t>
        </is>
      </c>
      <c r="K93" s="2" t="inlineStr">
        <is>
          <t>Sí</t>
        </is>
      </c>
      <c r="L93" s="2" t="inlineStr">
        <is>
          <t>A170010310</t>
        </is>
      </c>
      <c r="M93" s="2" t="inlineStr">
        <is>
          <t>CV_Claudia_Díaz.pdf</t>
        </is>
      </c>
      <c r="N93" s="2" t="inlineStr">
        <is>
          <t>DC_Líder_Desarrollo_Producción.pdf</t>
        </is>
      </c>
      <c r="O93" s="4" t="inlineStr">
        <is>
          <t>Indagar en liderazgo de equipos y gestión del cambio. Proceso confidencial para el candidato.</t>
        </is>
      </c>
      <c r="P93" s="3" t="inlineStr">
        <is>
          <t>1 referencia con observaciones</t>
        </is>
      </c>
      <c r="Q93" s="5" t="n">
        <v>46071</v>
      </c>
      <c r="R93" s="5" t="n">
        <v>46078</v>
      </c>
      <c r="S93" s="5" t="n">
        <v>46079</v>
      </c>
      <c r="T93" s="2">
        <f>NETWORKDAYS(R93,S93)-1</f>
        <v/>
      </c>
      <c r="U93" s="6" t="inlineStr">
        <is>
          <t>Recomendado con observaciones</t>
        </is>
      </c>
    </row>
    <row r="94">
      <c r="A94" s="2" t="n">
        <v>93</v>
      </c>
      <c r="B94" s="2" t="inlineStr">
        <is>
          <t>marzo 26</t>
        </is>
      </c>
      <c r="C94" s="2" t="inlineStr">
        <is>
          <t>externa</t>
        </is>
      </c>
      <c r="D94" s="3" t="inlineStr">
        <is>
          <t>Macarena Vidal</t>
        </is>
      </c>
      <c r="E94" s="3" t="inlineStr">
        <is>
          <t>Carlos Pérez Contreras</t>
        </is>
      </c>
      <c r="F94" s="2" t="inlineStr">
        <is>
          <t>Externo</t>
        </is>
      </c>
      <c r="G94" s="2" t="inlineStr">
        <is>
          <t>Técnico B C</t>
        </is>
      </c>
      <c r="H94" s="3" t="inlineStr">
        <is>
          <t>Operador Sala Control</t>
        </is>
      </c>
      <c r="I94" s="2" t="inlineStr">
        <is>
          <t>Pargua PA</t>
        </is>
      </c>
      <c r="J94" s="2" t="inlineStr">
        <is>
          <t>Otros Producción</t>
        </is>
      </c>
      <c r="K94" s="2" t="inlineStr">
        <is>
          <t>No</t>
        </is>
      </c>
      <c r="L94" s="2" t="inlineStr">
        <is>
          <t>A170030402</t>
        </is>
      </c>
      <c r="M94" s="2" t="inlineStr">
        <is>
          <t>CV_Carlos_Pérez.pdf</t>
        </is>
      </c>
      <c r="N94" s="2" t="inlineStr">
        <is>
          <t>DC_Operador_Sala_Control.pdf</t>
        </is>
      </c>
      <c r="O94" s="4" t="inlineStr">
        <is>
          <t>Validar atención al detalle y cumplimiento de protocolos.</t>
        </is>
      </c>
      <c r="P94" s="3" t="inlineStr"/>
      <c r="Q94" s="5" t="n">
        <v>46100</v>
      </c>
      <c r="R94" s="5" t="n">
        <v>46107</v>
      </c>
      <c r="S94" s="5" t="n">
        <v>46108</v>
      </c>
      <c r="T94" s="2">
        <f>NETWORKDAYS(R94,S94)-1</f>
        <v/>
      </c>
      <c r="U94" s="7" t="inlineStr">
        <is>
          <t>Recomendado</t>
        </is>
      </c>
    </row>
    <row r="95">
      <c r="A95" s="2" t="n">
        <v>94</v>
      </c>
      <c r="B95" s="2" t="inlineStr">
        <is>
          <t>marzo 26</t>
        </is>
      </c>
      <c r="C95" s="2" t="inlineStr">
        <is>
          <t>externa</t>
        </is>
      </c>
      <c r="D95" s="3" t="inlineStr">
        <is>
          <t>Fernanda Rojas</t>
        </is>
      </c>
      <c r="E95" s="3" t="inlineStr">
        <is>
          <t>Catalina López Díaz</t>
        </is>
      </c>
      <c r="F95" s="2" t="inlineStr">
        <is>
          <t>Externo</t>
        </is>
      </c>
      <c r="G95" s="2" t="inlineStr">
        <is>
          <t>Profesional A</t>
        </is>
      </c>
      <c r="H95" s="3" t="inlineStr">
        <is>
          <t>Líder Desarrollo Producción</t>
        </is>
      </c>
      <c r="I95" s="2" t="inlineStr">
        <is>
          <t>Oficina Central</t>
        </is>
      </c>
      <c r="J95" s="2" t="inlineStr">
        <is>
          <t>Corporativo</t>
        </is>
      </c>
      <c r="K95" s="2" t="inlineStr">
        <is>
          <t>Sí</t>
        </is>
      </c>
      <c r="L95" s="2" t="inlineStr">
        <is>
          <t>A170010307</t>
        </is>
      </c>
      <c r="M95" s="2" t="inlineStr">
        <is>
          <t>CV_Catalina_López.pdf</t>
        </is>
      </c>
      <c r="N95" s="2" t="inlineStr">
        <is>
          <t>DC_Líder_Desarrollo_Producción.pdf</t>
        </is>
      </c>
      <c r="O95" s="4" t="inlineStr">
        <is>
          <t>Énfasis en visión estratégica y relacionamiento con gerencias.</t>
        </is>
      </c>
      <c r="P95" s="3" t="inlineStr">
        <is>
          <t>1 referencia con observaciones</t>
        </is>
      </c>
      <c r="Q95" s="5" t="n">
        <v>46091</v>
      </c>
      <c r="R95" s="5" t="n">
        <v>46094</v>
      </c>
      <c r="S95" s="5" t="n">
        <v>46098</v>
      </c>
      <c r="T95" s="2">
        <f>NETWORKDAYS(R95,S95)-1</f>
        <v/>
      </c>
      <c r="U95" s="7" t="inlineStr">
        <is>
          <t>Recomendado</t>
        </is>
      </c>
    </row>
    <row r="96">
      <c r="A96" s="2" t="n">
        <v>95</v>
      </c>
      <c r="B96" s="2" t="inlineStr">
        <is>
          <t>marzo 26</t>
        </is>
      </c>
      <c r="C96" s="2" t="inlineStr">
        <is>
          <t>externa</t>
        </is>
      </c>
      <c r="D96" s="3" t="inlineStr">
        <is>
          <t>Javiera Soto</t>
        </is>
      </c>
      <c r="E96" s="3" t="inlineStr">
        <is>
          <t>Víctor Sánchez Sepúlveda</t>
        </is>
      </c>
      <c r="F96" s="2" t="inlineStr">
        <is>
          <t>Externo</t>
        </is>
      </c>
      <c r="G96" s="2" t="inlineStr">
        <is>
          <t>Profesional A</t>
        </is>
      </c>
      <c r="H96" s="3" t="inlineStr">
        <is>
          <t>Jefe de Proyectos TI</t>
        </is>
      </c>
      <c r="I96" s="2" t="inlineStr">
        <is>
          <t>Oficina Central</t>
        </is>
      </c>
      <c r="J96" s="2" t="inlineStr">
        <is>
          <t>Corporativo</t>
        </is>
      </c>
      <c r="K96" s="2" t="inlineStr">
        <is>
          <t>Sí</t>
        </is>
      </c>
      <c r="L96" s="2" t="inlineStr">
        <is>
          <t>A170010301</t>
        </is>
      </c>
      <c r="M96" s="2" t="inlineStr">
        <is>
          <t>CV_Víctor_Sánchez.pdf</t>
        </is>
      </c>
      <c r="N96" s="2" t="inlineStr">
        <is>
          <t>DC_Jefe_de_Proyectos_TI.pdf</t>
        </is>
      </c>
      <c r="O96" s="4" t="inlineStr">
        <is>
          <t>Énfasis en visión estratégica y relacionamiento con gerencias.</t>
        </is>
      </c>
      <c r="P96" s="3" t="inlineStr">
        <is>
          <t>2 referencias favorables</t>
        </is>
      </c>
      <c r="Q96" s="5" t="n">
        <v>46091</v>
      </c>
      <c r="R96" s="5" t="n">
        <v>46093</v>
      </c>
      <c r="S96" s="5" t="n">
        <v>46099</v>
      </c>
      <c r="T96" s="2">
        <f>NETWORKDAYS(R96,S96)-1</f>
        <v/>
      </c>
      <c r="U96" s="7" t="inlineStr">
        <is>
          <t>Recomendado</t>
        </is>
      </c>
    </row>
    <row r="97">
      <c r="A97" s="2" t="n">
        <v>96</v>
      </c>
      <c r="B97" s="2" t="inlineStr">
        <is>
          <t>marzo 26</t>
        </is>
      </c>
      <c r="C97" s="2" t="inlineStr">
        <is>
          <t>externa</t>
        </is>
      </c>
      <c r="D97" s="3" t="inlineStr">
        <is>
          <t>Carolina Muñoz</t>
        </is>
      </c>
      <c r="E97" s="3" t="inlineStr">
        <is>
          <t>Natalia Muñoz Contreras</t>
        </is>
      </c>
      <c r="F97" s="2" t="inlineStr">
        <is>
          <t>Externo</t>
        </is>
      </c>
      <c r="G97" s="2" t="inlineStr">
        <is>
          <t>Jefatura</t>
        </is>
      </c>
      <c r="H97" s="3" t="inlineStr">
        <is>
          <t>Jefe Área Piscicultura</t>
        </is>
      </c>
      <c r="I97" s="2" t="inlineStr">
        <is>
          <t>Codihue</t>
        </is>
      </c>
      <c r="J97" s="2" t="inlineStr">
        <is>
          <t>Producción AD</t>
        </is>
      </c>
      <c r="K97" s="2" t="inlineStr">
        <is>
          <t>Sí</t>
        </is>
      </c>
      <c r="L97" s="2" t="inlineStr">
        <is>
          <t>A170050104</t>
        </is>
      </c>
      <c r="M97" s="2" t="inlineStr">
        <is>
          <t>CV_Natalia_Muñoz.pdf</t>
        </is>
      </c>
      <c r="N97" s="2" t="inlineStr">
        <is>
          <t>DC_Jefe_Área_Piscicultura.pdf</t>
        </is>
      </c>
      <c r="O97" s="4" t="inlineStr">
        <is>
          <t>Énfasis en competencias de gestión y cultura de seguridad.</t>
        </is>
      </c>
      <c r="P97" s="3" t="inlineStr">
        <is>
          <t>2 referencias favorables</t>
        </is>
      </c>
      <c r="Q97" s="5" t="n">
        <v>46097</v>
      </c>
      <c r="R97" s="5" t="n">
        <v>46104</v>
      </c>
      <c r="S97" s="5" t="n">
        <v>46105</v>
      </c>
      <c r="T97" s="2">
        <f>NETWORKDAYS(R97,S97)-1</f>
        <v/>
      </c>
      <c r="U97" s="7" t="inlineStr">
        <is>
          <t>Recomendado</t>
        </is>
      </c>
    </row>
    <row r="98">
      <c r="A98" s="2" t="n">
        <v>97</v>
      </c>
      <c r="B98" s="2" t="inlineStr">
        <is>
          <t>marzo 26</t>
        </is>
      </c>
      <c r="C98" s="2" t="inlineStr">
        <is>
          <t>externa</t>
        </is>
      </c>
      <c r="D98" s="3" t="inlineStr">
        <is>
          <t>Fernanda Rojas</t>
        </is>
      </c>
      <c r="E98" s="3" t="inlineStr">
        <is>
          <t>Paulina Araya Soto</t>
        </is>
      </c>
      <c r="F98" s="2" t="inlineStr">
        <is>
          <t>Externo</t>
        </is>
      </c>
      <c r="G98" s="2" t="inlineStr">
        <is>
          <t>Jefatura</t>
        </is>
      </c>
      <c r="H98" s="3" t="inlineStr">
        <is>
          <t>Jefe de Centro</t>
        </is>
      </c>
      <c r="I98" s="2" t="inlineStr">
        <is>
          <t>AM Melinka</t>
        </is>
      </c>
      <c r="J98" s="2" t="inlineStr">
        <is>
          <t>Producción AM</t>
        </is>
      </c>
      <c r="K98" s="2" t="inlineStr">
        <is>
          <t>Sí</t>
        </is>
      </c>
      <c r="L98" s="2" t="inlineStr">
        <is>
          <t>A170040205</t>
        </is>
      </c>
      <c r="M98" s="2" t="inlineStr">
        <is>
          <t>CV_Paulina_Araya.pdf</t>
        </is>
      </c>
      <c r="N98" s="2" t="inlineStr">
        <is>
          <t>DC_Jefe_de_Centro.pdf</t>
        </is>
      </c>
      <c r="O98" s="4" t="inlineStr">
        <is>
          <t>Énfasis en competencias de gestión y cultura de seguridad.</t>
        </is>
      </c>
      <c r="P98" s="3" t="inlineStr">
        <is>
          <t>2 referencias favorables</t>
        </is>
      </c>
      <c r="Q98" s="5" t="n">
        <v>46099</v>
      </c>
      <c r="R98" s="5" t="n">
        <v>46107</v>
      </c>
      <c r="S98" s="5" t="n">
        <v>46108</v>
      </c>
      <c r="T98" s="2">
        <f>NETWORKDAYS(R98,S98)-1</f>
        <v/>
      </c>
      <c r="U98" s="6" t="inlineStr">
        <is>
          <t>Recomendado con observaciones</t>
        </is>
      </c>
    </row>
    <row r="99">
      <c r="A99" s="2" t="n">
        <v>98</v>
      </c>
      <c r="B99" s="2" t="inlineStr">
        <is>
          <t>marzo 26</t>
        </is>
      </c>
      <c r="C99" s="2" t="inlineStr">
        <is>
          <t>interna</t>
        </is>
      </c>
      <c r="D99" s="3" t="inlineStr">
        <is>
          <t>Daniela Contreras</t>
        </is>
      </c>
      <c r="E99" s="3" t="inlineStr">
        <is>
          <t>Felipe Sepúlveda López</t>
        </is>
      </c>
      <c r="F99" s="2" t="inlineStr">
        <is>
          <t>Interno</t>
        </is>
      </c>
      <c r="G99" s="2" t="inlineStr">
        <is>
          <t>Jefatura</t>
        </is>
      </c>
      <c r="H99" s="3" t="inlineStr">
        <is>
          <t>Jefe de SSO</t>
        </is>
      </c>
      <c r="I99" s="2" t="inlineStr">
        <is>
          <t>Planta Calbuco</t>
        </is>
      </c>
      <c r="J99" s="2" t="inlineStr">
        <is>
          <t>Industrial</t>
        </is>
      </c>
      <c r="K99" s="2" t="inlineStr">
        <is>
          <t>No</t>
        </is>
      </c>
      <c r="L99" s="2" t="inlineStr"/>
      <c r="M99" s="2" t="inlineStr"/>
      <c r="N99" s="2" t="inlineStr">
        <is>
          <t>DC_Jefe_de_SSO.pdf</t>
        </is>
      </c>
      <c r="O99" s="4" t="inlineStr">
        <is>
          <t>Énfasis en competencias de gestión y cultura de seguridad.</t>
        </is>
      </c>
      <c r="P99" s="3" t="inlineStr"/>
      <c r="Q99" s="5" t="n">
        <v>46104</v>
      </c>
      <c r="R99" s="5" t="n">
        <v>46106</v>
      </c>
      <c r="S99" s="5" t="n">
        <v>46108</v>
      </c>
      <c r="T99" s="2">
        <f>NETWORKDAYS(R99,S99)-1</f>
        <v/>
      </c>
      <c r="U99" s="7" t="inlineStr">
        <is>
          <t>Recomendado</t>
        </is>
      </c>
    </row>
    <row r="100">
      <c r="A100" s="2" t="n">
        <v>99</v>
      </c>
      <c r="B100" s="2" t="inlineStr">
        <is>
          <t>marzo 26</t>
        </is>
      </c>
      <c r="C100" s="2" t="inlineStr">
        <is>
          <t>interna</t>
        </is>
      </c>
      <c r="D100" s="3" t="inlineStr">
        <is>
          <t>Javiera Soto</t>
        </is>
      </c>
      <c r="E100" s="3" t="inlineStr">
        <is>
          <t>Víctor Pérez Navarro</t>
        </is>
      </c>
      <c r="F100" s="2" t="inlineStr">
        <is>
          <t>Interno</t>
        </is>
      </c>
      <c r="G100" s="2" t="inlineStr">
        <is>
          <t>Operario Calificado</t>
        </is>
      </c>
      <c r="H100" s="3" t="inlineStr">
        <is>
          <t>Grúero</t>
        </is>
      </c>
      <c r="I100" s="2" t="inlineStr">
        <is>
          <t>Planta Magallanes</t>
        </is>
      </c>
      <c r="J100" s="2" t="inlineStr">
        <is>
          <t>Industrial</t>
        </is>
      </c>
      <c r="K100" s="2" t="inlineStr">
        <is>
          <t>No</t>
        </is>
      </c>
      <c r="L100" s="2" t="inlineStr">
        <is>
          <t>A170020705</t>
        </is>
      </c>
      <c r="M100" s="2" t="inlineStr"/>
      <c r="N100" s="2" t="inlineStr">
        <is>
          <t>DC_Grúero.pdf</t>
        </is>
      </c>
      <c r="O100" s="4" t="inlineStr">
        <is>
          <t>Indagar en apego a normas de seguridad y trabajo en altura.</t>
        </is>
      </c>
      <c r="P100" s="3" t="inlineStr"/>
      <c r="Q100" s="5" t="n">
        <v>46107</v>
      </c>
      <c r="R100" s="5" t="n">
        <v>46115</v>
      </c>
      <c r="S100" s="5" t="n">
        <v>46118</v>
      </c>
      <c r="T100" s="2">
        <f>NETWORKDAYS(R100,S100)-1</f>
        <v/>
      </c>
      <c r="U100" s="8" t="inlineStr">
        <is>
          <t>No recomendado</t>
        </is>
      </c>
    </row>
    <row r="101">
      <c r="A101" s="2" t="n">
        <v>100</v>
      </c>
      <c r="B101" s="2" t="inlineStr">
        <is>
          <t>marzo 26</t>
        </is>
      </c>
      <c r="C101" s="2" t="inlineStr">
        <is>
          <t>interna</t>
        </is>
      </c>
      <c r="D101" s="3" t="inlineStr">
        <is>
          <t>Javiera Soto</t>
        </is>
      </c>
      <c r="E101" s="3" t="inlineStr">
        <is>
          <t>Natalia Sepúlveda Flores</t>
        </is>
      </c>
      <c r="F101" s="2" t="inlineStr">
        <is>
          <t>Interno</t>
        </is>
      </c>
      <c r="G101" s="2" t="inlineStr">
        <is>
          <t>Técnico B C</t>
        </is>
      </c>
      <c r="H101" s="3" t="inlineStr">
        <is>
          <t>Asistente Bodega Planta</t>
        </is>
      </c>
      <c r="I101" s="2" t="inlineStr">
        <is>
          <t>Planta Cailin</t>
        </is>
      </c>
      <c r="J101" s="2" t="inlineStr">
        <is>
          <t>Industrial</t>
        </is>
      </c>
      <c r="K101" s="2" t="inlineStr">
        <is>
          <t>No</t>
        </is>
      </c>
      <c r="L101" s="2" t="inlineStr"/>
      <c r="M101" s="2" t="inlineStr"/>
      <c r="N101" s="2" t="inlineStr">
        <is>
          <t>DC_Asistente_Bodega_Planta.pdf</t>
        </is>
      </c>
      <c r="O101" s="4" t="inlineStr">
        <is>
          <t>Validar atención al detalle y cumplimiento de protocolos.</t>
        </is>
      </c>
      <c r="P101" s="3" t="inlineStr"/>
      <c r="Q101" s="5" t="n">
        <v>46107</v>
      </c>
      <c r="R101" s="5" t="n">
        <v>46111</v>
      </c>
      <c r="S101" s="5" t="n">
        <v>46113</v>
      </c>
      <c r="T101" s="2">
        <f>NETWORKDAYS(R101,S101)-1</f>
        <v/>
      </c>
      <c r="U101" s="7" t="inlineStr">
        <is>
          <t>Recomendado</t>
        </is>
      </c>
    </row>
  </sheetData>
  <autoFilter ref="A1:U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</cols>
  <sheetData>
    <row r="1">
      <c r="A1" s="9" t="inlineStr">
        <is>
          <t>Resumen evaluaciones psicolaborales (datos simulados, abr-2025 a mar-2026)</t>
        </is>
      </c>
      <c r="B1" s="10" t="n"/>
      <c r="C1" s="10" t="n"/>
    </row>
    <row r="2">
      <c r="A2" s="10" t="n"/>
      <c r="B2" s="10" t="n"/>
      <c r="C2" s="10" t="n"/>
    </row>
    <row r="3">
      <c r="A3" s="11" t="inlineStr">
        <is>
          <t>Categoría</t>
        </is>
      </c>
      <c r="B3" s="11" t="inlineStr">
        <is>
          <t>Cantidad</t>
        </is>
      </c>
      <c r="C3" s="11" t="inlineStr">
        <is>
          <t>%</t>
        </is>
      </c>
    </row>
    <row r="4">
      <c r="A4" s="10" t="inlineStr">
        <is>
          <t>Recomendado</t>
        </is>
      </c>
      <c r="B4" s="10">
        <f>COUNTIF(Candidatos!$U$2:$U$101,A4)</f>
        <v/>
      </c>
      <c r="C4" s="12">
        <f>B4/$B$7</f>
        <v/>
      </c>
    </row>
    <row r="5">
      <c r="A5" s="10" t="inlineStr">
        <is>
          <t>Recomendado con observaciones</t>
        </is>
      </c>
      <c r="B5" s="10">
        <f>COUNTIF(Candidatos!$U$2:$U$101,A5)</f>
        <v/>
      </c>
      <c r="C5" s="12">
        <f>B5/$B$7</f>
        <v/>
      </c>
    </row>
    <row r="6">
      <c r="A6" s="10" t="inlineStr">
        <is>
          <t>No recomendado</t>
        </is>
      </c>
      <c r="B6" s="10">
        <f>COUNTIF(Candidatos!$U$2:$U$101,A6)</f>
        <v/>
      </c>
      <c r="C6" s="12">
        <f>B6/$B$7</f>
        <v/>
      </c>
    </row>
    <row r="7">
      <c r="A7" s="10" t="inlineStr">
        <is>
          <t>Total</t>
        </is>
      </c>
      <c r="B7" s="10">
        <f>SUM(B4:B6)</f>
        <v/>
      </c>
      <c r="C7" s="10" t="n"/>
    </row>
    <row r="8">
      <c r="A8" s="10" t="n"/>
      <c r="B8" s="10" t="n"/>
      <c r="C8" s="10" t="n"/>
    </row>
    <row r="9">
      <c r="A9" s="11" t="inlineStr">
        <is>
          <t>Origen</t>
        </is>
      </c>
      <c r="B9" s="11" t="inlineStr">
        <is>
          <t>Cantidad</t>
        </is>
      </c>
      <c r="C9" s="10" t="n"/>
    </row>
    <row r="10">
      <c r="A10" s="10" t="inlineStr">
        <is>
          <t>Interno</t>
        </is>
      </c>
      <c r="B10" s="10">
        <f>COUNTIF(Candidatos!$F$2:$F$101,A10)</f>
        <v/>
      </c>
      <c r="C10" s="10" t="n"/>
    </row>
    <row r="11">
      <c r="A11" s="10" t="inlineStr">
        <is>
          <t>Externo</t>
        </is>
      </c>
      <c r="B11" s="10">
        <f>COUNTIF(Candidatos!$F$2:$F$101,A11)</f>
        <v/>
      </c>
      <c r="C11" s="10" t="n"/>
    </row>
    <row r="12">
      <c r="A12" s="10" t="n"/>
      <c r="B12" s="10" t="n"/>
      <c r="C12" s="10" t="n"/>
    </row>
    <row r="13">
      <c r="A13" s="10" t="inlineStr">
        <is>
          <t>Tiempo de respuesta promedio (días hábiles)</t>
        </is>
      </c>
      <c r="B13" s="13">
        <f>AVERAGE(Candidatos!$T$2:$T$101)</f>
        <v/>
      </c>
      <c r="C13" s="10" t="n"/>
    </row>
    <row r="14">
      <c r="A14" s="10" t="n"/>
      <c r="B14" s="10" t="n"/>
      <c r="C14" s="10" t="n"/>
    </row>
    <row r="15">
      <c r="A15" s="11" t="inlineStr">
        <is>
          <t>Mes</t>
        </is>
      </c>
      <c r="B15" s="11" t="inlineStr">
        <is>
          <t>Evaluaciones</t>
        </is>
      </c>
      <c r="C15" s="10" t="n"/>
    </row>
    <row r="16">
      <c r="A16" s="10" t="inlineStr">
        <is>
          <t>abril 25</t>
        </is>
      </c>
      <c r="B16" s="10">
        <f>COUNTIF(Candidatos!$B$2:$B$101,A16)</f>
        <v/>
      </c>
      <c r="C16" s="10" t="n"/>
    </row>
    <row r="17">
      <c r="A17" s="10" t="inlineStr">
        <is>
          <t>mayo 25</t>
        </is>
      </c>
      <c r="B17" s="10">
        <f>COUNTIF(Candidatos!$B$2:$B$101,A17)</f>
        <v/>
      </c>
      <c r="C17" s="10" t="n"/>
    </row>
    <row r="18">
      <c r="A18" s="10" t="inlineStr">
        <is>
          <t>junio 25</t>
        </is>
      </c>
      <c r="B18" s="10">
        <f>COUNTIF(Candidatos!$B$2:$B$101,A18)</f>
        <v/>
      </c>
      <c r="C18" s="10" t="n"/>
    </row>
    <row r="19">
      <c r="A19" s="10" t="inlineStr">
        <is>
          <t>julio 25</t>
        </is>
      </c>
      <c r="B19" s="10">
        <f>COUNTIF(Candidatos!$B$2:$B$101,A19)</f>
        <v/>
      </c>
      <c r="C19" s="10" t="n"/>
    </row>
    <row r="20">
      <c r="A20" s="10" t="inlineStr">
        <is>
          <t>agosto 25</t>
        </is>
      </c>
      <c r="B20" s="10">
        <f>COUNTIF(Candidatos!$B$2:$B$101,A20)</f>
        <v/>
      </c>
      <c r="C20" s="10" t="n"/>
    </row>
    <row r="21">
      <c r="A21" s="10" t="inlineStr">
        <is>
          <t>septiembre 25</t>
        </is>
      </c>
      <c r="B21" s="10">
        <f>COUNTIF(Candidatos!$B$2:$B$101,A21)</f>
        <v/>
      </c>
      <c r="C21" s="10" t="n"/>
    </row>
    <row r="22">
      <c r="A22" s="10" t="inlineStr">
        <is>
          <t>octubre 25</t>
        </is>
      </c>
      <c r="B22" s="10">
        <f>COUNTIF(Candidatos!$B$2:$B$101,A22)</f>
        <v/>
      </c>
      <c r="C22" s="10" t="n"/>
    </row>
    <row r="23">
      <c r="A23" s="10" t="inlineStr">
        <is>
          <t>noviembre 25</t>
        </is>
      </c>
      <c r="B23" s="10">
        <f>COUNTIF(Candidatos!$B$2:$B$101,A23)</f>
        <v/>
      </c>
      <c r="C23" s="10" t="n"/>
    </row>
    <row r="24">
      <c r="A24" s="10" t="inlineStr">
        <is>
          <t>diciembre 25</t>
        </is>
      </c>
      <c r="B24" s="10">
        <f>COUNTIF(Candidatos!$B$2:$B$101,A24)</f>
        <v/>
      </c>
      <c r="C24" s="10" t="n"/>
    </row>
    <row r="25">
      <c r="A25" s="10" t="inlineStr">
        <is>
          <t>enero 26</t>
        </is>
      </c>
      <c r="B25" s="10">
        <f>COUNTIF(Candidatos!$B$2:$B$101,A25)</f>
        <v/>
      </c>
      <c r="C25" s="10" t="n"/>
    </row>
    <row r="26">
      <c r="A26" s="10" t="inlineStr">
        <is>
          <t>febrero 26</t>
        </is>
      </c>
      <c r="B26" s="10">
        <f>COUNTIF(Candidatos!$B$2:$B$101,A26)</f>
        <v/>
      </c>
      <c r="C26" s="10" t="n"/>
    </row>
    <row r="27">
      <c r="A27" s="10" t="inlineStr">
        <is>
          <t>marzo 26</t>
        </is>
      </c>
      <c r="B27" s="10">
        <f>COUNTIF(Candidatos!$B$2:$B$101,A27)</f>
        <v/>
      </c>
      <c r="C27" s="10" t="n"/>
    </row>
    <row r="28">
      <c r="A28" s="10" t="n"/>
      <c r="B28" s="10" t="n"/>
      <c r="C28" s="10" t="n"/>
    </row>
    <row r="29">
      <c r="A29" s="10" t="inlineStr">
        <is>
          <t>Nota: todos los nombres, reclutadores, CECO y fechas son ficticios, generados para el MVP (DSY1104).</t>
        </is>
      </c>
      <c r="B29" s="10" t="n"/>
      <c r="C2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2026-09-28T22:46:39Z</dcterms:created>
  <dcterms:modified xmlns:dcterms="http://purl.org/dc/terms/" xmlns:xsi="http://www.w3.org/2001/XMLSchema-instance" xsi:type="dcterms:W3CDTF">2026-09-28T22:46:39Z</dcterms:modified>
</cp:coreProperties>
</file>